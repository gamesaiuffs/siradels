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2.xml" ContentType="application/vnd.openxmlformats-officedocument.spreadsheetml.worksheet+xml"/>
  <Override PartName="/xl/worksheets/sheet6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Geral" sheetId="1" state="visible" r:id="rId1"/>
    <sheet name="vs. Random" sheetId="2" state="visible" r:id="rId2"/>
    <sheet name="vs. Especialistas" sheetId="3" state="visible" r:id="rId3"/>
    <sheet name="Sheet1" sheetId="4" state="visible" r:id="rId4"/>
    <sheet name="Config 27" sheetId="5" state="visible" r:id="rId5"/>
    <sheet name="Config 26" sheetId="6" state="visible" r:id="rId6"/>
    <sheet name="Config 25" sheetId="7" state="visible" r:id="rId7"/>
    <sheet name="Config 24" sheetId="8" state="visible" r:id="rId8"/>
    <sheet name="Config 23" sheetId="9" state="visible" r:id="rId9"/>
    <sheet name="Config 22" sheetId="10" state="visible" r:id="rId10"/>
    <sheet name="Config 21" sheetId="11" state="visible" r:id="rId11"/>
    <sheet name="Config 20" sheetId="12" state="visible" r:id="rId12"/>
    <sheet name="Config 19" sheetId="13" state="visible" r:id="rId13"/>
    <sheet name="Config 18" sheetId="14" state="visible" r:id="rId14"/>
    <sheet name="Config 17" sheetId="15" state="visible" r:id="rId15"/>
    <sheet name="Config 16" sheetId="16" state="visible" r:id="rId16"/>
    <sheet name="Config 15" sheetId="17" state="visible" r:id="rId17"/>
    <sheet name="Config 14" sheetId="18" state="visible" r:id="rId18"/>
    <sheet name="Config 13" sheetId="19" state="visible" r:id="rId19"/>
    <sheet name="Config 12" sheetId="20" state="visible" r:id="rId20"/>
    <sheet name="Config 11" sheetId="21" state="visible" r:id="rId21"/>
    <sheet name="Config 10" sheetId="22" state="visible" r:id="rId22"/>
    <sheet name="Config 9" sheetId="23" state="visible" r:id="rId23"/>
    <sheet name="Config 8" sheetId="24" state="visible" r:id="rId24"/>
    <sheet name="Config 7" sheetId="25" state="visible" r:id="rId25"/>
    <sheet name="Config 6" sheetId="26" state="visible" r:id="rId26"/>
    <sheet name="Config 5" sheetId="27" state="visible" r:id="rId27"/>
    <sheet name="Config 4" sheetId="28" state="visible" r:id="rId28"/>
    <sheet name="Config 3" sheetId="29" state="visible" r:id="rId29"/>
    <sheet name="Config 2" sheetId="30" state="visible" r:id="rId30"/>
    <sheet name="Config 1" sheetId="31" state="visible" r:id="rId31"/>
    <sheet name="Config 0" sheetId="32" state="visible" r:id="rId32"/>
  </sheets>
  <definedNames>
    <definedName name="_xlnm._FilterDatabase" localSheetId="3" hidden="1">Sheet1!$A$1:$H$281</definedName>
    <definedName name="_xlnm._FilterDatabase" localSheetId="3" hidden="1">Sheet1!$A$1:$H$281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<sst xmlns="http://schemas.openxmlformats.org/spreadsheetml/2006/main" count="24" uniqueCount="24">
  <si>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 xml:space="preserve">vs. Especialistas</t>
  </si>
  <si>
    <t xml:space="preserve">vs. Random</t>
  </si>
  <si>
    <t>config</t>
  </si>
  <si>
    <t>Média</t>
  </si>
  <si>
    <t>Desvio</t>
  </si>
  <si>
    <t xml:space="preserve">Int. Confiança</t>
  </si>
  <si>
    <t xml:space="preserve">Mean Win Rate</t>
  </si>
  <si>
    <t xml:space="preserve">Average Score</t>
  </si>
  <si>
    <t xml:space="preserve">Win Rate</t>
  </si>
  <si>
    <t xml:space="preserve">mean win rate</t>
  </si>
  <si>
    <t xml:space="preserve">mean average score</t>
  </si>
  <si>
    <t xml:space="preserve">std. dev. win rate</t>
  </si>
  <si>
    <t xml:space="preserve">std. dev. avg. score</t>
  </si>
  <si>
    <t xml:space="preserve">int. conf. win rate</t>
  </si>
  <si>
    <t xml:space="preserve">int. conf. score</t>
  </si>
  <si>
    <t>configuracao</t>
  </si>
  <si>
    <t>execucao</t>
  </si>
  <si>
    <t>vitorias_especialistas</t>
  </si>
  <si>
    <t>taxa_vitorias_especialistas</t>
  </si>
  <si>
    <t>pontuacao_media_especialistas</t>
  </si>
  <si>
    <t>vitorias_random</t>
  </si>
  <si>
    <t>taxa_vitorias_random</t>
  </si>
  <si>
    <t>pontuacao_media_random</t>
  </si>
  <si>
    <t>vs.Random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</si>
</sst>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%"/>
    <numFmt numFmtId="166" formatCode="00.00"/>
    <numFmt numFmtId="167" formatCode="00.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 applyAlignment="1">
      <alignment horizontal="center"/>
    </xf>
    <xf fontId="0" fillId="0" borderId="0" numFmtId="0" xfId="0">
      <protection hidden="0" locked="1"/>
    </xf>
    <xf fontId="0" fillId="0" borderId="0" numFmtId="0" xfId="0"/>
    <xf fontId="0" fillId="0" borderId="0" numFmtId="10" xfId="0" applyNumberFormat="1"/>
    <xf fontId="0" fillId="0" borderId="0" numFmtId="2" xfId="0" applyNumberFormat="1"/>
    <xf fontId="0" fillId="0" borderId="0" numFmtId="164" xfId="0" applyNumberFormat="1"/>
    <xf fontId="0" fillId="0" borderId="0" numFmtId="2" xfId="0" applyNumberFormat="1">
      <protection hidden="0" locked="1"/>
    </xf>
    <xf fontId="0" fillId="0" borderId="0" numFmtId="164" xfId="0" applyNumberFormat="1">
      <protection hidden="0" locked="1"/>
    </xf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6" xfId="0" applyNumberFormat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worksheet" Target="worksheets/sheet27.xml"/><Relationship  Id="rId28" Type="http://schemas.openxmlformats.org/officeDocument/2006/relationships/worksheet" Target="worksheets/sheet28.xml"/><Relationship  Id="rId29" Type="http://schemas.openxmlformats.org/officeDocument/2006/relationships/worksheet" Target="worksheets/sheet29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31" Type="http://schemas.openxmlformats.org/officeDocument/2006/relationships/worksheet" Target="worksheets/sheet31.xml"/><Relationship  Id="rId32" Type="http://schemas.openxmlformats.org/officeDocument/2006/relationships/worksheet" Target="worksheets/sheet32.xml"/><Relationship  Id="rId33" Type="http://schemas.openxmlformats.org/officeDocument/2006/relationships/theme" Target="theme/theme1.xml"/><Relationship  Id="rId34" Type="http://schemas.openxmlformats.org/officeDocument/2006/relationships/sharedStrings" Target="sharedStrings.xml"/><Relationship  Id="rId35" Type="http://schemas.openxmlformats.org/officeDocument/2006/relationships/styles" Target="styles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</row>
    <row r="2">
      <c r="A2" t="s">
        <v>2</v>
      </c>
      <c r="B2" t="s">
        <v>3</v>
      </c>
      <c r="D2" t="s">
        <v>4</v>
      </c>
      <c r="F2" t="s">
        <v>5</v>
      </c>
      <c r="J2" t="s">
        <v>2</v>
      </c>
      <c r="K2" t="s">
        <v>3</v>
      </c>
      <c r="M2" t="s">
        <v>4</v>
      </c>
      <c r="O2" t="s">
        <v>5</v>
      </c>
      <c r="Q2" s="2"/>
    </row>
    <row r="3">
      <c r="B3" s="3" t="s">
        <v>6</v>
      </c>
      <c r="C3" t="s">
        <v>7</v>
      </c>
      <c r="D3" t="s">
        <v>8</v>
      </c>
      <c r="E3" t="s">
        <v>7</v>
      </c>
      <c r="F3" t="s">
        <v>8</v>
      </c>
      <c r="G3" t="s">
        <v>7</v>
      </c>
      <c r="K3" t="s">
        <v>8</v>
      </c>
      <c r="L3" t="s">
        <v>7</v>
      </c>
      <c r="M3" t="s">
        <v>8</v>
      </c>
      <c r="N3" t="s">
        <v>7</v>
      </c>
      <c r="O3" t="s">
        <v>8</v>
      </c>
      <c r="P3" t="s">
        <v>7</v>
      </c>
      <c r="Q3" s="2"/>
    </row>
    <row r="4">
      <c r="A4">
        <v>0</v>
      </c>
      <c r="B4" s="4">
        <v>0.086699999999999999</v>
      </c>
      <c r="C4" s="5">
        <v>11.85</v>
      </c>
      <c r="D4">
        <v>0.058900000000000001</v>
      </c>
      <c r="E4">
        <v>1.8439000000000001</v>
      </c>
      <c r="F4">
        <v>0.0023</v>
      </c>
      <c r="G4">
        <v>0.073300000000000004</v>
      </c>
      <c r="J4">
        <v>0</v>
      </c>
      <c r="K4" s="4">
        <v>0.14460000000000001</v>
      </c>
      <c r="L4">
        <v>13.19</v>
      </c>
      <c r="M4">
        <v>0.1003</v>
      </c>
      <c r="N4">
        <v>2.3673999999999999</v>
      </c>
      <c r="O4" s="6">
        <v>0.0040000000000000001</v>
      </c>
      <c r="P4">
        <v>0.094100000000000003</v>
      </c>
      <c r="Q4" s="2"/>
    </row>
    <row r="5">
      <c r="A5">
        <v>1</v>
      </c>
      <c r="B5" s="4">
        <v>0.35899999999999999</v>
      </c>
      <c r="C5" s="5">
        <v>17.73</v>
      </c>
      <c r="D5">
        <v>0.023699999999999999</v>
      </c>
      <c r="E5">
        <v>0.59209999999999996</v>
      </c>
      <c r="F5">
        <v>0.00089999999999999998</v>
      </c>
      <c r="G5">
        <v>0.0235</v>
      </c>
      <c r="J5" s="2">
        <v>1</v>
      </c>
      <c r="K5" s="4">
        <v>0.57009999999999994</v>
      </c>
      <c r="L5" s="2">
        <v>21.050000000000001</v>
      </c>
      <c r="M5" s="2">
        <v>0.029700000000000001</v>
      </c>
      <c r="N5" s="2">
        <v>0.60809999999999997</v>
      </c>
      <c r="O5" s="2">
        <v>0.0011999999999999999</v>
      </c>
      <c r="P5" s="2">
        <v>0.024199999999999999</v>
      </c>
      <c r="Q5" s="2"/>
    </row>
    <row r="6">
      <c r="A6">
        <v>2</v>
      </c>
      <c r="B6" s="4">
        <v>0.311</v>
      </c>
      <c r="C6" s="5">
        <v>16.48</v>
      </c>
      <c r="D6">
        <v>0.034299999999999997</v>
      </c>
      <c r="E6" s="6">
        <v>0.92300000000000004</v>
      </c>
      <c r="F6">
        <v>0.0014</v>
      </c>
      <c r="G6">
        <v>0.036700000000000003</v>
      </c>
      <c r="J6" s="2">
        <v>2</v>
      </c>
      <c r="K6" s="4">
        <v>0.54270000000000007</v>
      </c>
      <c r="L6" s="7">
        <v>20.399999999999999</v>
      </c>
      <c r="M6" s="2">
        <v>0.0378</v>
      </c>
      <c r="N6" s="2">
        <v>0.56610000000000005</v>
      </c>
      <c r="O6" s="2">
        <v>0.0015</v>
      </c>
      <c r="P6" s="2">
        <v>0.022499999999999999</v>
      </c>
      <c r="Q6" s="2"/>
    </row>
    <row r="7">
      <c r="A7">
        <v>3</v>
      </c>
      <c r="B7" s="4">
        <v>0.26400000000000001</v>
      </c>
      <c r="C7" s="5">
        <v>15.390000000000001</v>
      </c>
      <c r="D7">
        <v>0.026599999999999999</v>
      </c>
      <c r="E7" s="6">
        <v>0.72499999999999998</v>
      </c>
      <c r="F7">
        <v>0.0011000000000000001</v>
      </c>
      <c r="G7">
        <v>0.028799999999999999</v>
      </c>
      <c r="J7" s="2">
        <v>3</v>
      </c>
      <c r="K7" s="4">
        <v>0.51629999999999998</v>
      </c>
      <c r="L7" s="2">
        <v>19.859999999999999</v>
      </c>
      <c r="M7" s="2">
        <v>0.0201</v>
      </c>
      <c r="N7" s="2">
        <v>0.40239999999999998</v>
      </c>
      <c r="O7" s="2">
        <v>0.00080000000000000004</v>
      </c>
      <c r="P7" s="8">
        <v>0.016</v>
      </c>
      <c r="Q7" s="2"/>
    </row>
    <row r="8">
      <c r="A8">
        <v>4</v>
      </c>
      <c r="B8" s="4">
        <v>0.31030000000000002</v>
      </c>
      <c r="C8" s="5">
        <v>16.77</v>
      </c>
      <c r="D8">
        <v>0.046800000000000001</v>
      </c>
      <c r="E8">
        <v>1.1629</v>
      </c>
      <c r="F8">
        <v>0.0019</v>
      </c>
      <c r="G8">
        <v>0.046199999999999998</v>
      </c>
      <c r="J8">
        <v>4</v>
      </c>
      <c r="K8" s="4">
        <v>0.53759999999999997</v>
      </c>
      <c r="L8">
        <v>20.550000000000001</v>
      </c>
      <c r="M8">
        <v>0.025100000000000001</v>
      </c>
      <c r="N8">
        <v>0.43590000000000001</v>
      </c>
      <c r="O8" s="6">
        <v>0.001</v>
      </c>
      <c r="P8">
        <v>0.017299999999999999</v>
      </c>
    </row>
    <row r="9">
      <c r="A9">
        <v>5</v>
      </c>
      <c r="B9" s="4">
        <v>0.33600000000000002</v>
      </c>
      <c r="C9" s="5">
        <v>16.989999999999998</v>
      </c>
      <c r="D9">
        <v>0.0235</v>
      </c>
      <c r="E9">
        <v>0.53800000000000003</v>
      </c>
      <c r="F9">
        <v>0.00089999999999999998</v>
      </c>
      <c r="G9">
        <v>0.021399999999999999</v>
      </c>
      <c r="J9">
        <v>5</v>
      </c>
      <c r="K9" s="4">
        <v>0.54890000000000005</v>
      </c>
      <c r="L9">
        <v>20.460000000000001</v>
      </c>
      <c r="M9">
        <v>0.027</v>
      </c>
      <c r="N9">
        <v>0.50609999999999999</v>
      </c>
      <c r="O9">
        <v>0.0011000000000000001</v>
      </c>
      <c r="P9">
        <v>0.0201</v>
      </c>
    </row>
    <row r="10">
      <c r="A10">
        <v>6</v>
      </c>
      <c r="B10" s="4">
        <v>0.31010000000000004</v>
      </c>
      <c r="C10" s="5">
        <v>16.699999999999999</v>
      </c>
      <c r="D10">
        <v>0.0356</v>
      </c>
      <c r="E10">
        <v>0.92600000000000005</v>
      </c>
      <c r="F10">
        <v>0.0014</v>
      </c>
      <c r="G10">
        <v>0.036799999999999999</v>
      </c>
      <c r="J10">
        <v>6</v>
      </c>
      <c r="K10" s="4">
        <v>0.53039999999999998</v>
      </c>
      <c r="L10">
        <v>20.32</v>
      </c>
      <c r="M10">
        <v>0.022499999999999999</v>
      </c>
      <c r="N10">
        <v>0.4617</v>
      </c>
      <c r="O10">
        <v>0.00089999999999999998</v>
      </c>
      <c r="P10">
        <v>0.0183</v>
      </c>
    </row>
    <row r="11">
      <c r="A11">
        <v>7</v>
      </c>
      <c r="B11" s="4">
        <v>0.30010000000000003</v>
      </c>
      <c r="C11" s="5">
        <v>16.960000000000001</v>
      </c>
      <c r="D11">
        <v>0.072900000000000006</v>
      </c>
      <c r="E11">
        <v>1.5575000000000001</v>
      </c>
      <c r="F11">
        <v>0.0028999999999999998</v>
      </c>
      <c r="G11">
        <v>0.061899999999999997</v>
      </c>
      <c r="J11">
        <v>7</v>
      </c>
      <c r="K11" s="4">
        <v>0.47539999999999999</v>
      </c>
      <c r="L11">
        <v>19.890000000000001</v>
      </c>
      <c r="M11">
        <v>0.1046</v>
      </c>
      <c r="N11">
        <v>1.9086000000000001</v>
      </c>
      <c r="O11">
        <v>0.0041999999999999997</v>
      </c>
      <c r="P11">
        <v>0.075800000000000006</v>
      </c>
    </row>
    <row r="12">
      <c r="A12">
        <v>8</v>
      </c>
      <c r="B12" s="4">
        <v>0.32689999999999997</v>
      </c>
      <c r="C12" s="5">
        <v>16.850000000000001</v>
      </c>
      <c r="D12">
        <v>0.033599999999999998</v>
      </c>
      <c r="E12">
        <v>0.85519999999999996</v>
      </c>
      <c r="F12">
        <v>0.0012999999999999999</v>
      </c>
      <c r="G12">
        <v>0.034000000000000002</v>
      </c>
      <c r="J12">
        <v>8</v>
      </c>
      <c r="K12" s="4">
        <v>0.55010000000000003</v>
      </c>
      <c r="L12">
        <v>20.649999999999999</v>
      </c>
      <c r="M12">
        <v>0.023699999999999999</v>
      </c>
      <c r="N12">
        <v>0.35020000000000001</v>
      </c>
      <c r="O12">
        <v>0.00089999999999999998</v>
      </c>
      <c r="P12">
        <v>0.013899999999999999</v>
      </c>
    </row>
    <row r="13">
      <c r="A13">
        <v>9</v>
      </c>
      <c r="B13" s="4">
        <v>0.29920000000000002</v>
      </c>
      <c r="C13" s="5">
        <v>16.579999999999998</v>
      </c>
      <c r="D13">
        <v>0.054300000000000001</v>
      </c>
      <c r="E13">
        <v>1.1422000000000001</v>
      </c>
      <c r="F13">
        <v>0.0022000000000000001</v>
      </c>
      <c r="G13">
        <v>0.045400000000000003</v>
      </c>
      <c r="J13">
        <v>9</v>
      </c>
      <c r="K13" s="4">
        <v>0.52810000000000001</v>
      </c>
      <c r="L13">
        <v>20.489999999999998</v>
      </c>
      <c r="M13">
        <v>0.017899999999999999</v>
      </c>
      <c r="N13">
        <v>0.45789999999999997</v>
      </c>
      <c r="O13">
        <v>0.00069999999999999999</v>
      </c>
      <c r="P13">
        <v>0.018200000000000001</v>
      </c>
    </row>
    <row r="14">
      <c r="A14">
        <v>10</v>
      </c>
      <c r="B14" s="4">
        <v>0.28360000000000002</v>
      </c>
      <c r="C14" s="5">
        <v>16.300000000000001</v>
      </c>
      <c r="D14">
        <v>0.052699999999999997</v>
      </c>
      <c r="E14">
        <v>1.3463000000000001</v>
      </c>
      <c r="F14">
        <v>0.0020999999999999999</v>
      </c>
      <c r="G14">
        <v>0.053499999999999999</v>
      </c>
      <c r="J14">
        <v>10</v>
      </c>
      <c r="K14" s="4">
        <v>0.48909999999999998</v>
      </c>
      <c r="L14">
        <v>19.789999999999999</v>
      </c>
      <c r="M14">
        <v>0.042599999999999999</v>
      </c>
      <c r="N14">
        <v>0.97829999999999995</v>
      </c>
      <c r="O14">
        <v>0.0016999999999999999</v>
      </c>
      <c r="P14">
        <v>0.038899999999999997</v>
      </c>
    </row>
    <row r="15">
      <c r="A15">
        <v>11</v>
      </c>
      <c r="B15" s="4">
        <v>0.30099999999999999</v>
      </c>
      <c r="C15">
        <v>16.629999999999999</v>
      </c>
      <c r="D15">
        <v>0.040899999999999999</v>
      </c>
      <c r="E15">
        <v>1.0412999999999999</v>
      </c>
      <c r="F15">
        <v>0.0016000000000000001</v>
      </c>
      <c r="G15">
        <v>0.041399999999999999</v>
      </c>
      <c r="J15">
        <v>11</v>
      </c>
      <c r="K15" s="4">
        <v>0.52739999999999998</v>
      </c>
      <c r="L15">
        <v>20.34</v>
      </c>
      <c r="M15">
        <v>0.035400000000000001</v>
      </c>
      <c r="N15">
        <v>0.69989999999999997</v>
      </c>
      <c r="O15">
        <v>0.0014</v>
      </c>
      <c r="P15">
        <v>0.027799999999999998</v>
      </c>
    </row>
    <row r="16">
      <c r="A16">
        <v>12</v>
      </c>
      <c r="B16" s="4">
        <v>0.27440000000000003</v>
      </c>
      <c r="C16">
        <v>16.120000000000001</v>
      </c>
      <c r="D16">
        <v>0.024899999999999999</v>
      </c>
      <c r="E16">
        <v>0.60140000000000005</v>
      </c>
      <c r="F16">
        <v>0.001</v>
      </c>
      <c r="G16">
        <v>0.023900000000000001</v>
      </c>
      <c r="J16">
        <v>12</v>
      </c>
      <c r="K16" s="4">
        <v>0.4889</v>
      </c>
      <c r="L16">
        <v>19.780000000000001</v>
      </c>
      <c r="M16">
        <v>0.035499999999999997</v>
      </c>
      <c r="N16">
        <v>0.51000000000000001</v>
      </c>
      <c r="O16">
        <v>0.0014</v>
      </c>
      <c r="P16">
        <v>0.020299999999999999</v>
      </c>
    </row>
    <row r="17">
      <c r="A17">
        <v>13</v>
      </c>
      <c r="B17" s="4">
        <v>0.28139999999999998</v>
      </c>
      <c r="C17">
        <v>16.34</v>
      </c>
      <c r="D17">
        <v>0.036999999999999998</v>
      </c>
      <c r="E17">
        <v>1.0580000000000001</v>
      </c>
      <c r="F17">
        <v>0.0015</v>
      </c>
      <c r="G17">
        <v>0.042000000000000003</v>
      </c>
      <c r="J17">
        <v>13</v>
      </c>
      <c r="K17" s="4">
        <v>0.5121</v>
      </c>
      <c r="L17">
        <v>20.149999999999999</v>
      </c>
      <c r="M17">
        <v>0.039399999999999998</v>
      </c>
      <c r="N17">
        <v>1.0544</v>
      </c>
      <c r="O17">
        <v>0.0016000000000000001</v>
      </c>
      <c r="P17">
        <v>0.0419</v>
      </c>
    </row>
    <row r="18">
      <c r="A18">
        <v>14</v>
      </c>
      <c r="B18" s="4">
        <v>0.29220000000000002</v>
      </c>
      <c r="C18">
        <v>16.600000000000001</v>
      </c>
      <c r="D18">
        <v>0.033500000000000002</v>
      </c>
      <c r="E18">
        <v>0.66520000000000001</v>
      </c>
      <c r="F18">
        <v>0.0012999999999999999</v>
      </c>
      <c r="G18">
        <v>0.0264</v>
      </c>
      <c r="J18">
        <v>14</v>
      </c>
      <c r="K18" s="4">
        <v>0.50490000000000002</v>
      </c>
      <c r="L18">
        <v>20.129999999999999</v>
      </c>
      <c r="M18">
        <v>0.0436</v>
      </c>
      <c r="N18">
        <v>0.71330000000000005</v>
      </c>
      <c r="O18">
        <v>0.0016999999999999999</v>
      </c>
      <c r="P18">
        <v>0.028299999999999999</v>
      </c>
    </row>
    <row r="19">
      <c r="A19">
        <v>15</v>
      </c>
      <c r="B19" s="4">
        <v>0.25769999999999998</v>
      </c>
      <c r="C19">
        <v>15.52</v>
      </c>
      <c r="D19">
        <v>0.045699999999999998</v>
      </c>
      <c r="E19">
        <v>1.1343000000000001</v>
      </c>
      <c r="F19">
        <v>0.0018</v>
      </c>
      <c r="G19">
        <v>0.045100000000000001</v>
      </c>
      <c r="J19">
        <v>15</v>
      </c>
      <c r="K19" s="4">
        <v>0.4793</v>
      </c>
      <c r="L19">
        <v>19.52</v>
      </c>
      <c r="M19">
        <v>0.050599999999999999</v>
      </c>
      <c r="N19">
        <v>0.87229999999999996</v>
      </c>
      <c r="O19">
        <v>0.002</v>
      </c>
      <c r="P19">
        <v>0.034700000000000002</v>
      </c>
    </row>
    <row r="20">
      <c r="A20">
        <v>16</v>
      </c>
      <c r="B20" s="4">
        <v>0.29299999999999998</v>
      </c>
      <c r="C20">
        <v>16.300000000000001</v>
      </c>
      <c r="D20">
        <v>0.036600000000000001</v>
      </c>
      <c r="E20">
        <v>0.71879999999999999</v>
      </c>
      <c r="F20">
        <v>0.0015</v>
      </c>
      <c r="G20">
        <v>0.0286</v>
      </c>
      <c r="J20">
        <v>16</v>
      </c>
      <c r="K20" s="4">
        <v>0.51200000000000001</v>
      </c>
      <c r="L20">
        <v>20.039999999999999</v>
      </c>
      <c r="M20">
        <v>0.0521</v>
      </c>
      <c r="N20">
        <v>0.78000000000000003</v>
      </c>
      <c r="O20">
        <v>0.0020999999999999999</v>
      </c>
      <c r="P20">
        <v>0.031</v>
      </c>
    </row>
    <row r="21">
      <c r="A21">
        <v>17</v>
      </c>
      <c r="B21" s="4">
        <v>0.29980000000000001</v>
      </c>
      <c r="C21">
        <v>16.219999999999999</v>
      </c>
      <c r="D21">
        <v>0.038600000000000002</v>
      </c>
      <c r="E21">
        <v>0.99929999999999997</v>
      </c>
      <c r="F21">
        <v>0.0015</v>
      </c>
      <c r="G21">
        <v>0.039699999999999999</v>
      </c>
      <c r="J21">
        <v>17</v>
      </c>
      <c r="K21" s="4">
        <v>0.53600000000000003</v>
      </c>
      <c r="L21">
        <v>20.420000000000002</v>
      </c>
      <c r="M21">
        <v>0.024899999999999999</v>
      </c>
      <c r="N21">
        <v>0.61829999999999996</v>
      </c>
      <c r="O21">
        <v>0.001</v>
      </c>
      <c r="P21">
        <v>0.0246</v>
      </c>
    </row>
    <row r="22">
      <c r="A22">
        <v>18</v>
      </c>
      <c r="B22" s="4">
        <v>0.28889999999999999</v>
      </c>
      <c r="C22">
        <v>15.98</v>
      </c>
      <c r="D22">
        <v>0.033000000000000002</v>
      </c>
      <c r="E22">
        <v>0.6663</v>
      </c>
      <c r="F22">
        <v>0.0012999999999999999</v>
      </c>
      <c r="G22">
        <v>0.026499999999999999</v>
      </c>
      <c r="J22">
        <v>18</v>
      </c>
      <c r="K22" s="4">
        <v>0.501</v>
      </c>
      <c r="L22">
        <v>19.809999999999999</v>
      </c>
      <c r="M22">
        <v>0.058500000000000003</v>
      </c>
      <c r="N22">
        <v>0.87660000000000005</v>
      </c>
      <c r="O22">
        <v>0.0023</v>
      </c>
      <c r="P22">
        <v>0.034799999999999998</v>
      </c>
    </row>
    <row r="23">
      <c r="A23">
        <v>19</v>
      </c>
      <c r="B23" s="4">
        <v>0.15179999999999999</v>
      </c>
      <c r="C23">
        <v>13.699999999999999</v>
      </c>
      <c r="D23">
        <v>0.027900000000000001</v>
      </c>
      <c r="E23">
        <v>0.64019999999999999</v>
      </c>
      <c r="F23">
        <v>0.0011000000000000001</v>
      </c>
      <c r="G23">
        <v>0.025399999999999999</v>
      </c>
      <c r="J23">
        <v>19</v>
      </c>
      <c r="K23" s="4">
        <v>0.31879999999999997</v>
      </c>
      <c r="L23">
        <v>16.829999999999998</v>
      </c>
      <c r="M23">
        <v>0.0436</v>
      </c>
      <c r="N23">
        <v>0.83609999999999995</v>
      </c>
      <c r="O23">
        <v>0.0016999999999999999</v>
      </c>
      <c r="P23">
        <v>0.0332</v>
      </c>
    </row>
    <row r="24">
      <c r="A24">
        <v>20</v>
      </c>
      <c r="B24" s="4">
        <v>0.184</v>
      </c>
      <c r="C24">
        <v>14.380000000000001</v>
      </c>
      <c r="D24">
        <v>0.019</v>
      </c>
      <c r="E24">
        <v>0.4869</v>
      </c>
      <c r="F24">
        <v>0.00080000000000000004</v>
      </c>
      <c r="G24">
        <v>0.019300000000000001</v>
      </c>
      <c r="J24">
        <v>20</v>
      </c>
      <c r="K24" s="4">
        <v>0.34860000000000002</v>
      </c>
      <c r="L24">
        <v>17.48</v>
      </c>
      <c r="M24">
        <v>0.044200000000000003</v>
      </c>
      <c r="N24">
        <v>0.86529999999999996</v>
      </c>
      <c r="O24">
        <v>0.0018</v>
      </c>
      <c r="P24">
        <v>0.0344</v>
      </c>
    </row>
    <row r="25">
      <c r="A25">
        <v>21</v>
      </c>
      <c r="B25" s="4">
        <v>0.18989999999999999</v>
      </c>
      <c r="C25">
        <v>14.51</v>
      </c>
      <c r="D25">
        <v>0.030700000000000002</v>
      </c>
      <c r="E25">
        <v>0.89790000000000003</v>
      </c>
      <c r="F25">
        <v>0.0011999999999999999</v>
      </c>
      <c r="G25">
        <v>0.035700000000000003</v>
      </c>
      <c r="J25">
        <v>21</v>
      </c>
      <c r="K25" s="4">
        <v>0.36270000000000002</v>
      </c>
      <c r="L25">
        <v>17.73</v>
      </c>
      <c r="M25">
        <v>0.036799999999999999</v>
      </c>
      <c r="N25">
        <v>0.78910000000000002</v>
      </c>
      <c r="O25">
        <v>0.0015</v>
      </c>
      <c r="P25">
        <v>0.031399999999999997</v>
      </c>
    </row>
    <row r="26">
      <c r="A26">
        <v>22</v>
      </c>
      <c r="B26" s="4">
        <v>0.22010000000000002</v>
      </c>
      <c r="C26">
        <v>14.949999999999999</v>
      </c>
      <c r="D26">
        <v>0.033000000000000002</v>
      </c>
      <c r="E26">
        <v>0.83689999999999998</v>
      </c>
      <c r="F26">
        <v>0.0012999999999999999</v>
      </c>
      <c r="G26">
        <v>0.033300000000000003</v>
      </c>
      <c r="J26">
        <v>22</v>
      </c>
      <c r="K26" s="4">
        <v>0.41889999999999999</v>
      </c>
      <c r="L26">
        <v>18.530000000000001</v>
      </c>
      <c r="M26">
        <v>0.050000000000000003</v>
      </c>
      <c r="N26">
        <v>0.86480000000000001</v>
      </c>
      <c r="O26">
        <v>0.002</v>
      </c>
      <c r="P26">
        <v>0.0344</v>
      </c>
    </row>
    <row r="27">
      <c r="A27">
        <v>23</v>
      </c>
      <c r="B27" s="4">
        <v>0.21280000000000002</v>
      </c>
      <c r="C27">
        <v>15.33</v>
      </c>
      <c r="D27">
        <v>0.0246</v>
      </c>
      <c r="E27">
        <v>0.56699999999999995</v>
      </c>
      <c r="F27">
        <v>0.001</v>
      </c>
      <c r="G27">
        <v>0.022499999999999999</v>
      </c>
      <c r="J27">
        <v>23</v>
      </c>
      <c r="K27" s="4">
        <v>0.40619999999999995</v>
      </c>
      <c r="L27">
        <v>18.739999999999998</v>
      </c>
      <c r="M27">
        <v>0.046699999999999998</v>
      </c>
      <c r="N27">
        <v>0.6784</v>
      </c>
      <c r="O27">
        <v>0.0019</v>
      </c>
      <c r="P27">
        <v>0.027</v>
      </c>
    </row>
    <row r="28">
      <c r="A28">
        <v>24</v>
      </c>
      <c r="B28" s="4">
        <v>0.20100000000000001</v>
      </c>
      <c r="C28">
        <v>14.970000000000001</v>
      </c>
      <c r="D28">
        <v>0.027199999999999998</v>
      </c>
      <c r="E28">
        <v>0.71419999999999995</v>
      </c>
      <c r="F28">
        <v>0.0011000000000000001</v>
      </c>
      <c r="G28">
        <v>0.028400000000000002</v>
      </c>
      <c r="J28">
        <v>24</v>
      </c>
      <c r="K28" s="4">
        <v>0.41039999999999999</v>
      </c>
      <c r="L28">
        <v>18.52</v>
      </c>
      <c r="M28">
        <v>0.044200000000000003</v>
      </c>
      <c r="N28">
        <v>0.79600000000000004</v>
      </c>
      <c r="O28">
        <v>0.0018</v>
      </c>
      <c r="P28">
        <v>0.031600000000000003</v>
      </c>
    </row>
    <row r="29">
      <c r="A29">
        <v>25</v>
      </c>
      <c r="B29" s="4">
        <v>0.24940000000000001</v>
      </c>
      <c r="C29">
        <v>15.470000000000001</v>
      </c>
      <c r="D29">
        <v>0.044999999999999998</v>
      </c>
      <c r="E29">
        <v>0.89580000000000004</v>
      </c>
      <c r="F29">
        <v>0.0018</v>
      </c>
      <c r="G29">
        <v>0.0356</v>
      </c>
      <c r="J29">
        <v>25</v>
      </c>
      <c r="K29" s="4">
        <v>0.44479999999999997</v>
      </c>
      <c r="L29">
        <v>18.91</v>
      </c>
      <c r="M29">
        <v>0.044299999999999999</v>
      </c>
      <c r="N29">
        <v>0.88870000000000005</v>
      </c>
      <c r="O29">
        <v>0.0018</v>
      </c>
      <c r="P29">
        <v>0.035299999999999998</v>
      </c>
    </row>
    <row r="30">
      <c r="A30">
        <v>26</v>
      </c>
      <c r="B30" s="4">
        <v>0.23550000000000001</v>
      </c>
      <c r="C30">
        <v>15.449999999999999</v>
      </c>
      <c r="D30">
        <v>0.039800000000000002</v>
      </c>
      <c r="E30">
        <v>1.0485</v>
      </c>
      <c r="F30">
        <v>0.0016000000000000001</v>
      </c>
      <c r="G30">
        <v>0.041700000000000001</v>
      </c>
      <c r="J30">
        <v>26</v>
      </c>
      <c r="K30" s="4">
        <v>0.43909999999999999</v>
      </c>
      <c r="L30">
        <v>18.82</v>
      </c>
      <c r="M30">
        <v>0.038899999999999997</v>
      </c>
      <c r="N30">
        <v>0.85109999999999997</v>
      </c>
      <c r="O30">
        <v>0.0015</v>
      </c>
      <c r="P30">
        <v>0.033799999999999997</v>
      </c>
    </row>
    <row r="31">
      <c r="A31">
        <v>27</v>
      </c>
      <c r="B31" s="4">
        <v>0.21829999999999999</v>
      </c>
      <c r="C31">
        <v>14.800000000000001</v>
      </c>
      <c r="D31">
        <v>0.045199999999999997</v>
      </c>
      <c r="E31">
        <v>1.2756000000000001</v>
      </c>
      <c r="F31">
        <v>0.0018</v>
      </c>
      <c r="G31">
        <v>0.050700000000000002</v>
      </c>
      <c r="J31">
        <v>27</v>
      </c>
      <c r="K31" s="4">
        <v>0.42670000000000002</v>
      </c>
      <c r="L31">
        <v>18.379999999999999</v>
      </c>
      <c r="M31">
        <v>0.078100000000000003</v>
      </c>
      <c r="N31">
        <v>1.5462</v>
      </c>
      <c r="O31">
        <v>0.0030999999999999999</v>
      </c>
      <c r="P31">
        <v>0.061400000000000003</v>
      </c>
    </row>
  </sheetData>
  <mergeCells count="2">
    <mergeCell ref="A1:H1"/>
    <mergeCell ref="J1:Q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9.7109375"/>
  </cols>
  <sheetData>
    <row r="1" ht="14.25">
      <c r="A1" t="s">
        <v>2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s="3" t="s">
        <v>14</v>
      </c>
    </row>
    <row r="2" ht="14.25">
      <c r="A2">
        <v>0</v>
      </c>
      <c r="B2" s="4">
        <v>0.14460000000000001</v>
      </c>
      <c r="C2" s="5">
        <v>13.19</v>
      </c>
      <c r="D2" s="6">
        <v>0.1003</v>
      </c>
      <c r="E2" s="6">
        <v>2.3673999999999999</v>
      </c>
      <c r="F2" s="6">
        <v>0.0040000000000000001</v>
      </c>
      <c r="G2" s="6">
        <v>0.094100000000000003</v>
      </c>
    </row>
    <row r="3" ht="14.25">
      <c r="A3">
        <v>1</v>
      </c>
      <c r="B3" s="4">
        <v>0.57009999999999994</v>
      </c>
      <c r="C3" s="5">
        <v>21.050000000000001</v>
      </c>
      <c r="D3" s="6">
        <v>0.029700000000000001</v>
      </c>
      <c r="E3" s="6">
        <v>0.60809999999999997</v>
      </c>
      <c r="F3" s="6">
        <v>0.0011999999999999999</v>
      </c>
      <c r="G3" s="6">
        <v>0.024199999999999999</v>
      </c>
    </row>
    <row r="4" ht="14.25">
      <c r="A4">
        <v>2</v>
      </c>
      <c r="B4" s="4">
        <v>0.54270000000000007</v>
      </c>
      <c r="C4" s="5">
        <v>20.399999999999999</v>
      </c>
      <c r="D4" s="6">
        <v>0.0378</v>
      </c>
      <c r="E4" s="6">
        <v>0.56610000000000005</v>
      </c>
      <c r="F4" s="6">
        <v>0.0015</v>
      </c>
      <c r="G4" s="6">
        <v>0.022499999999999999</v>
      </c>
    </row>
    <row r="5" ht="14.25">
      <c r="A5">
        <v>3</v>
      </c>
      <c r="B5" s="4">
        <v>0.51629999999999998</v>
      </c>
      <c r="C5" s="5">
        <v>19.859999999999999</v>
      </c>
      <c r="D5" s="6">
        <v>0.0201</v>
      </c>
      <c r="E5" s="6">
        <v>0.40239999999999998</v>
      </c>
      <c r="F5" s="6">
        <v>0.00080000000000000004</v>
      </c>
      <c r="G5" s="6">
        <v>0.016</v>
      </c>
    </row>
    <row r="6" ht="14.25">
      <c r="A6">
        <v>4</v>
      </c>
      <c r="B6" s="4">
        <v>0.53759999999999997</v>
      </c>
      <c r="C6" s="5">
        <v>20.550000000000001</v>
      </c>
      <c r="D6" s="6">
        <v>0.025100000000000001</v>
      </c>
      <c r="E6" s="6">
        <v>0.43590000000000001</v>
      </c>
      <c r="F6" s="6">
        <v>0.001</v>
      </c>
      <c r="G6" s="6">
        <v>0.017299999999999999</v>
      </c>
    </row>
    <row r="7" ht="14.25">
      <c r="A7">
        <v>5</v>
      </c>
      <c r="B7" s="4">
        <v>0.54890000000000005</v>
      </c>
      <c r="C7" s="5">
        <v>20.460000000000001</v>
      </c>
      <c r="D7" s="6">
        <v>0.027</v>
      </c>
      <c r="E7" s="6">
        <v>0.50609999999999999</v>
      </c>
      <c r="F7" s="6">
        <v>0.0011000000000000001</v>
      </c>
      <c r="G7" s="6">
        <v>0.0201</v>
      </c>
    </row>
    <row r="8" ht="14.25">
      <c r="A8">
        <v>6</v>
      </c>
      <c r="B8" s="4">
        <v>0.53039999999999998</v>
      </c>
      <c r="C8" s="5">
        <v>20.32</v>
      </c>
      <c r="D8" s="6">
        <v>0.022499999999999999</v>
      </c>
      <c r="E8" s="6">
        <v>0.4617</v>
      </c>
      <c r="F8" s="6">
        <v>0.00089999999999999998</v>
      </c>
      <c r="G8" s="6">
        <v>0.0183</v>
      </c>
    </row>
    <row r="9" ht="14.25">
      <c r="A9">
        <v>7</v>
      </c>
      <c r="B9" s="4">
        <v>0.47539999999999999</v>
      </c>
      <c r="C9" s="5">
        <v>19.890000000000001</v>
      </c>
      <c r="D9" s="6">
        <v>0.1046</v>
      </c>
      <c r="E9" s="6">
        <v>1.9086000000000001</v>
      </c>
      <c r="F9" s="6">
        <v>0.0041999999999999997</v>
      </c>
      <c r="G9" s="6">
        <v>0.075800000000000006</v>
      </c>
    </row>
    <row r="10" ht="14.25">
      <c r="A10">
        <v>8</v>
      </c>
      <c r="B10" s="4">
        <v>0.55010000000000003</v>
      </c>
      <c r="C10" s="5">
        <v>20.649999999999999</v>
      </c>
      <c r="D10" s="6">
        <v>0.023699999999999999</v>
      </c>
      <c r="E10" s="6">
        <v>0.35020000000000001</v>
      </c>
      <c r="F10" s="6">
        <v>0.00089999999999999998</v>
      </c>
      <c r="G10" s="6">
        <v>0.013899999999999999</v>
      </c>
    </row>
    <row r="11" ht="14.25">
      <c r="A11">
        <v>9</v>
      </c>
      <c r="B11" s="4">
        <v>0.52810000000000001</v>
      </c>
      <c r="C11" s="5">
        <v>20.489999999999998</v>
      </c>
      <c r="D11" s="6">
        <v>0.017899999999999999</v>
      </c>
      <c r="E11" s="6">
        <v>0.45789999999999997</v>
      </c>
      <c r="F11" s="6">
        <v>0.00069999999999999999</v>
      </c>
      <c r="G11" s="6">
        <v>0.018200000000000001</v>
      </c>
    </row>
    <row r="12" ht="14.25">
      <c r="A12">
        <v>10</v>
      </c>
      <c r="B12" s="4">
        <v>0.48909999999999998</v>
      </c>
      <c r="C12" s="5">
        <v>19.789999999999999</v>
      </c>
      <c r="D12" s="6">
        <v>0.042599999999999999</v>
      </c>
      <c r="E12" s="6">
        <v>0.97829999999999995</v>
      </c>
      <c r="F12" s="6">
        <v>0.0016999999999999999</v>
      </c>
      <c r="G12" s="6">
        <v>0.038899999999999997</v>
      </c>
    </row>
    <row r="13" ht="14.25">
      <c r="A13">
        <v>11</v>
      </c>
      <c r="B13" s="4">
        <v>0.52739999999999998</v>
      </c>
      <c r="C13" s="5">
        <v>20.34</v>
      </c>
      <c r="D13" s="6">
        <v>0.035400000000000001</v>
      </c>
      <c r="E13" s="6">
        <v>0.69989999999999997</v>
      </c>
      <c r="F13" s="6">
        <v>0.0014</v>
      </c>
      <c r="G13" s="6">
        <v>0.027799999999999998</v>
      </c>
    </row>
    <row r="14" ht="14.25">
      <c r="A14">
        <v>12</v>
      </c>
      <c r="B14" s="4">
        <v>0.4889</v>
      </c>
      <c r="C14" s="5">
        <v>19.780000000000001</v>
      </c>
      <c r="D14" s="6">
        <v>0.035499999999999997</v>
      </c>
      <c r="E14" s="6">
        <v>0.51000000000000001</v>
      </c>
      <c r="F14" s="6">
        <v>0.0014</v>
      </c>
      <c r="G14" s="6">
        <v>0.020299999999999999</v>
      </c>
    </row>
    <row r="15" ht="14.25">
      <c r="A15">
        <v>13</v>
      </c>
      <c r="B15" s="4">
        <v>0.5121</v>
      </c>
      <c r="C15" s="5">
        <v>20.149999999999999</v>
      </c>
      <c r="D15" s="6">
        <v>0.039399999999999998</v>
      </c>
      <c r="E15" s="6">
        <v>1.0544</v>
      </c>
      <c r="F15" s="6">
        <v>0.0016000000000000001</v>
      </c>
      <c r="G15" s="6">
        <v>0.0419</v>
      </c>
    </row>
    <row r="16" ht="14.25">
      <c r="A16">
        <v>14</v>
      </c>
      <c r="B16" s="4">
        <v>0.50490000000000002</v>
      </c>
      <c r="C16" s="5">
        <v>20.129999999999999</v>
      </c>
      <c r="D16" s="6">
        <v>0.0436</v>
      </c>
      <c r="E16" s="6">
        <v>0.71330000000000005</v>
      </c>
      <c r="F16" s="6">
        <v>0.0016999999999999999</v>
      </c>
      <c r="G16" s="6">
        <v>0.028299999999999999</v>
      </c>
    </row>
    <row r="17" ht="14.25">
      <c r="A17">
        <v>15</v>
      </c>
      <c r="B17" s="4">
        <v>0.4793</v>
      </c>
      <c r="C17" s="5">
        <v>19.52</v>
      </c>
      <c r="D17" s="6">
        <v>0.050599999999999999</v>
      </c>
      <c r="E17" s="6">
        <v>0.87229999999999996</v>
      </c>
      <c r="F17" s="6">
        <v>0.002</v>
      </c>
      <c r="G17" s="6">
        <v>0.034700000000000002</v>
      </c>
    </row>
    <row r="18" ht="14.25">
      <c r="A18">
        <v>16</v>
      </c>
      <c r="B18" s="4">
        <v>0.51200000000000001</v>
      </c>
      <c r="C18" s="5">
        <v>20.039999999999999</v>
      </c>
      <c r="D18" s="6">
        <v>0.0521</v>
      </c>
      <c r="E18" s="6">
        <v>0.78000000000000003</v>
      </c>
      <c r="F18" s="6">
        <v>0.0020999999999999999</v>
      </c>
      <c r="G18" s="6">
        <v>0.031</v>
      </c>
    </row>
    <row r="19" ht="14.25">
      <c r="A19">
        <v>17</v>
      </c>
      <c r="B19" s="4">
        <v>0.53600000000000003</v>
      </c>
      <c r="C19" s="5">
        <v>20.420000000000002</v>
      </c>
      <c r="D19" s="6">
        <v>0.024899999999999999</v>
      </c>
      <c r="E19" s="6">
        <v>0.61829999999999996</v>
      </c>
      <c r="F19" s="6">
        <v>0.001</v>
      </c>
      <c r="G19" s="6">
        <v>0.0246</v>
      </c>
    </row>
    <row r="20" ht="14.25">
      <c r="A20">
        <v>18</v>
      </c>
      <c r="B20" s="4">
        <v>0.501</v>
      </c>
      <c r="C20" s="5">
        <v>19.809999999999999</v>
      </c>
      <c r="D20" s="6">
        <v>0.058500000000000003</v>
      </c>
      <c r="E20" s="6">
        <v>0.87660000000000005</v>
      </c>
      <c r="F20" s="6">
        <v>0.0023</v>
      </c>
      <c r="G20" s="6">
        <v>0.034799999999999998</v>
      </c>
    </row>
    <row r="21" ht="14.25">
      <c r="A21">
        <v>19</v>
      </c>
      <c r="B21" s="4">
        <v>0.31879999999999997</v>
      </c>
      <c r="C21" s="5">
        <v>16.829999999999998</v>
      </c>
      <c r="D21" s="6">
        <v>0.0436</v>
      </c>
      <c r="E21" s="6">
        <v>0.83609999999999995</v>
      </c>
      <c r="F21" s="6">
        <v>0.0016999999999999999</v>
      </c>
      <c r="G21" s="6">
        <v>0.0332</v>
      </c>
    </row>
    <row r="22" ht="14.25">
      <c r="A22">
        <v>20</v>
      </c>
      <c r="B22" s="4">
        <v>0.34860000000000002</v>
      </c>
      <c r="C22" s="5">
        <v>17.48</v>
      </c>
      <c r="D22" s="6">
        <v>0.044200000000000003</v>
      </c>
      <c r="E22" s="6">
        <v>0.86529999999999996</v>
      </c>
      <c r="F22" s="6">
        <v>0.0018</v>
      </c>
      <c r="G22" s="6">
        <v>0.0344</v>
      </c>
    </row>
    <row r="23" ht="14.25">
      <c r="A23">
        <v>21</v>
      </c>
      <c r="B23" s="4">
        <v>0.36270000000000002</v>
      </c>
      <c r="C23" s="5">
        <v>17.73</v>
      </c>
      <c r="D23" s="6">
        <v>0.036799999999999999</v>
      </c>
      <c r="E23" s="6">
        <v>0.78910000000000002</v>
      </c>
      <c r="F23" s="6">
        <v>0.0015</v>
      </c>
      <c r="G23" s="6">
        <v>0.031399999999999997</v>
      </c>
    </row>
    <row r="24" ht="14.25">
      <c r="A24">
        <v>22</v>
      </c>
      <c r="B24" s="4">
        <v>0.41889999999999999</v>
      </c>
      <c r="C24" s="5">
        <v>18.530000000000001</v>
      </c>
      <c r="D24" s="6">
        <v>0.050000000000000003</v>
      </c>
      <c r="E24" s="6">
        <v>0.86480000000000001</v>
      </c>
      <c r="F24" s="6">
        <v>0.002</v>
      </c>
      <c r="G24" s="6">
        <v>0.0344</v>
      </c>
    </row>
    <row r="25" ht="14.25">
      <c r="A25">
        <v>23</v>
      </c>
      <c r="B25" s="4">
        <v>0.40619999999999995</v>
      </c>
      <c r="C25" s="5">
        <v>18.739999999999998</v>
      </c>
      <c r="D25" s="6">
        <v>0.046699999999999998</v>
      </c>
      <c r="E25" s="6">
        <v>0.6784</v>
      </c>
      <c r="F25" s="6">
        <v>0.0019</v>
      </c>
      <c r="G25" s="6">
        <v>0.027</v>
      </c>
    </row>
    <row r="26" ht="14.25">
      <c r="A26">
        <v>24</v>
      </c>
      <c r="B26" s="4">
        <v>0.41039999999999999</v>
      </c>
      <c r="C26" s="5">
        <v>18.52</v>
      </c>
      <c r="D26" s="6">
        <v>0.044200000000000003</v>
      </c>
      <c r="E26" s="6">
        <v>0.79600000000000004</v>
      </c>
      <c r="F26" s="6">
        <v>0.0018</v>
      </c>
      <c r="G26" s="6">
        <v>0.031600000000000003</v>
      </c>
    </row>
    <row r="27" ht="14.25">
      <c r="A27">
        <v>25</v>
      </c>
      <c r="B27" s="4">
        <v>0.44479999999999997</v>
      </c>
      <c r="C27" s="5">
        <v>18.91</v>
      </c>
      <c r="D27" s="6">
        <v>0.044299999999999999</v>
      </c>
      <c r="E27" s="6">
        <v>0.88870000000000005</v>
      </c>
      <c r="F27" s="6">
        <v>0.0018</v>
      </c>
      <c r="G27" s="6">
        <v>0.035299999999999998</v>
      </c>
    </row>
    <row r="28" ht="14.25">
      <c r="A28">
        <v>26</v>
      </c>
      <c r="B28" s="4">
        <v>0.43909999999999999</v>
      </c>
      <c r="C28" s="5">
        <v>18.82</v>
      </c>
      <c r="D28" s="6">
        <v>0.038899999999999997</v>
      </c>
      <c r="E28" s="6">
        <v>0.85109999999999997</v>
      </c>
      <c r="F28" s="6">
        <v>0.0015</v>
      </c>
      <c r="G28" s="6">
        <v>0.033799999999999997</v>
      </c>
    </row>
    <row r="29" ht="14.25">
      <c r="A29">
        <v>27</v>
      </c>
      <c r="B29" s="4">
        <v>0.42670000000000002</v>
      </c>
      <c r="C29" s="5">
        <v>18.379999999999999</v>
      </c>
      <c r="D29" s="6">
        <v>0.078100000000000003</v>
      </c>
      <c r="E29" s="6">
        <v>1.5462</v>
      </c>
      <c r="F29" s="6">
        <v>0.0030999999999999999</v>
      </c>
      <c r="G29" s="6">
        <v>0.061400000000000003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s="3" t="s">
        <v>14</v>
      </c>
    </row>
    <row r="2">
      <c r="A2">
        <v>0</v>
      </c>
      <c r="B2" s="4">
        <v>0.086699999999999999</v>
      </c>
      <c r="C2" s="5">
        <v>11.85</v>
      </c>
      <c r="D2" s="6">
        <v>0.058900000000000001</v>
      </c>
      <c r="E2" s="6">
        <v>1.8439000000000001</v>
      </c>
      <c r="F2" s="6">
        <v>0.0023</v>
      </c>
      <c r="G2" s="6">
        <v>0.073300000000000004</v>
      </c>
    </row>
    <row r="3">
      <c r="A3">
        <v>1</v>
      </c>
      <c r="B3" s="4">
        <v>0.35899999999999999</v>
      </c>
      <c r="C3" s="5">
        <v>17.73</v>
      </c>
      <c r="D3" s="6">
        <v>0.023699999999999999</v>
      </c>
      <c r="E3" s="6">
        <v>0.59209999999999996</v>
      </c>
      <c r="F3" s="6">
        <v>0.00089999999999999998</v>
      </c>
      <c r="G3" s="6">
        <v>0.0235</v>
      </c>
    </row>
    <row r="4">
      <c r="A4">
        <v>2</v>
      </c>
      <c r="B4" s="4">
        <v>0.311</v>
      </c>
      <c r="C4" s="5">
        <v>16.48</v>
      </c>
      <c r="D4" s="6">
        <v>0.034299999999999997</v>
      </c>
      <c r="E4" s="6">
        <v>0.92300000000000004</v>
      </c>
      <c r="F4" s="6">
        <v>0.0014</v>
      </c>
      <c r="G4" s="6">
        <v>0.036700000000000003</v>
      </c>
    </row>
    <row r="5">
      <c r="A5">
        <v>3</v>
      </c>
      <c r="B5" s="4">
        <v>0.26400000000000001</v>
      </c>
      <c r="C5" s="5">
        <v>15.390000000000001</v>
      </c>
      <c r="D5" s="6">
        <v>0.026599999999999999</v>
      </c>
      <c r="E5" s="6">
        <v>0.72499999999999998</v>
      </c>
      <c r="F5" s="6">
        <v>0.0011000000000000001</v>
      </c>
      <c r="G5" s="6">
        <v>0.028799999999999999</v>
      </c>
    </row>
    <row r="6">
      <c r="A6">
        <v>4</v>
      </c>
      <c r="B6" s="4">
        <v>0.31030000000000002</v>
      </c>
      <c r="C6" s="5">
        <v>16.77</v>
      </c>
      <c r="D6" s="6">
        <v>0.046800000000000001</v>
      </c>
      <c r="E6" s="6">
        <v>1.1629</v>
      </c>
      <c r="F6" s="6">
        <v>0.0019</v>
      </c>
      <c r="G6" s="6">
        <v>0.046199999999999998</v>
      </c>
    </row>
    <row r="7">
      <c r="A7">
        <v>5</v>
      </c>
      <c r="B7" s="4">
        <v>0.33600000000000002</v>
      </c>
      <c r="C7" s="5">
        <v>16.989999999999998</v>
      </c>
      <c r="D7" s="6">
        <v>0.0235</v>
      </c>
      <c r="E7" s="6">
        <v>0.53800000000000003</v>
      </c>
      <c r="F7" s="6">
        <v>0.00089999999999999998</v>
      </c>
      <c r="G7" s="6">
        <v>0.021399999999999999</v>
      </c>
    </row>
    <row r="8">
      <c r="A8">
        <v>6</v>
      </c>
      <c r="B8" s="4">
        <v>0.31010000000000004</v>
      </c>
      <c r="C8" s="5">
        <v>16.699999999999999</v>
      </c>
      <c r="D8" s="6">
        <v>0.0356</v>
      </c>
      <c r="E8" s="6">
        <v>0.92600000000000005</v>
      </c>
      <c r="F8" s="6">
        <v>0.0014</v>
      </c>
      <c r="G8" s="6">
        <v>0.036799999999999999</v>
      </c>
    </row>
    <row r="9">
      <c r="A9">
        <v>7</v>
      </c>
      <c r="B9" s="4">
        <v>0.30010000000000003</v>
      </c>
      <c r="C9" s="5">
        <v>16.960000000000001</v>
      </c>
      <c r="D9" s="6">
        <v>0.072900000000000006</v>
      </c>
      <c r="E9" s="6">
        <v>1.5575000000000001</v>
      </c>
      <c r="F9" s="6">
        <v>0.0028999999999999998</v>
      </c>
      <c r="G9" s="6">
        <v>0.061899999999999997</v>
      </c>
    </row>
    <row r="10">
      <c r="A10">
        <v>8</v>
      </c>
      <c r="B10" s="4">
        <v>0.32689999999999997</v>
      </c>
      <c r="C10" s="5">
        <v>16.850000000000001</v>
      </c>
      <c r="D10" s="6">
        <v>0.033599999999999998</v>
      </c>
      <c r="E10" s="6">
        <v>0.85519999999999996</v>
      </c>
      <c r="F10" s="6">
        <v>0.0012999999999999999</v>
      </c>
      <c r="G10" s="6">
        <v>0.034000000000000002</v>
      </c>
    </row>
    <row r="11">
      <c r="A11">
        <v>9</v>
      </c>
      <c r="B11" s="4">
        <v>0.29920000000000002</v>
      </c>
      <c r="C11" s="5">
        <v>16.579999999999998</v>
      </c>
      <c r="D11" s="6">
        <v>0.054300000000000001</v>
      </c>
      <c r="E11" s="6">
        <v>1.1422000000000001</v>
      </c>
      <c r="F11" s="6">
        <v>0.0022000000000000001</v>
      </c>
      <c r="G11" s="6">
        <v>0.045400000000000003</v>
      </c>
    </row>
    <row r="12">
      <c r="A12">
        <v>10</v>
      </c>
      <c r="B12" s="4">
        <v>0.28360000000000002</v>
      </c>
      <c r="C12" s="5">
        <v>16.300000000000001</v>
      </c>
      <c r="D12" s="6">
        <v>0.052699999999999997</v>
      </c>
      <c r="E12" s="6">
        <v>1.3463000000000001</v>
      </c>
      <c r="F12" s="6">
        <v>0.0020999999999999999</v>
      </c>
      <c r="G12" s="6">
        <v>0.053499999999999999</v>
      </c>
    </row>
    <row r="13">
      <c r="A13">
        <v>11</v>
      </c>
      <c r="B13" s="4">
        <v>0.30099999999999999</v>
      </c>
      <c r="C13" s="5">
        <v>16.629999999999999</v>
      </c>
      <c r="D13" s="6">
        <v>0.040899999999999999</v>
      </c>
      <c r="E13" s="6">
        <v>1.0412999999999999</v>
      </c>
      <c r="F13" s="6">
        <v>0.0016000000000000001</v>
      </c>
      <c r="G13" s="6">
        <v>0.041399999999999999</v>
      </c>
    </row>
    <row r="14">
      <c r="A14">
        <v>12</v>
      </c>
      <c r="B14" s="4">
        <v>0.27440000000000003</v>
      </c>
      <c r="C14" s="5">
        <v>16.120000000000001</v>
      </c>
      <c r="D14" s="6">
        <v>0.024899999999999999</v>
      </c>
      <c r="E14" s="6">
        <v>0.60140000000000005</v>
      </c>
      <c r="F14" s="6">
        <v>0.001</v>
      </c>
      <c r="G14" s="6">
        <v>0.023900000000000001</v>
      </c>
    </row>
    <row r="15">
      <c r="A15">
        <v>13</v>
      </c>
      <c r="B15" s="4">
        <v>0.28139999999999998</v>
      </c>
      <c r="C15" s="5">
        <v>16.34</v>
      </c>
      <c r="D15" s="6">
        <v>0.036999999999999998</v>
      </c>
      <c r="E15" s="6">
        <v>1.0580000000000001</v>
      </c>
      <c r="F15" s="6">
        <v>0.0015</v>
      </c>
      <c r="G15" s="6">
        <v>0.042000000000000003</v>
      </c>
    </row>
    <row r="16">
      <c r="A16">
        <v>14</v>
      </c>
      <c r="B16" s="4">
        <v>0.29220000000000002</v>
      </c>
      <c r="C16" s="5">
        <v>16.600000000000001</v>
      </c>
      <c r="D16" s="6">
        <v>0.033500000000000002</v>
      </c>
      <c r="E16" s="6">
        <v>0.66520000000000001</v>
      </c>
      <c r="F16" s="6">
        <v>0.0012999999999999999</v>
      </c>
      <c r="G16" s="6">
        <v>0.0264</v>
      </c>
    </row>
    <row r="17">
      <c r="A17">
        <v>15</v>
      </c>
      <c r="B17" s="4">
        <v>0.25769999999999998</v>
      </c>
      <c r="C17" s="5">
        <v>15.52</v>
      </c>
      <c r="D17" s="6">
        <v>0.045699999999999998</v>
      </c>
      <c r="E17" s="6">
        <v>1.1343000000000001</v>
      </c>
      <c r="F17" s="6">
        <v>0.0018</v>
      </c>
      <c r="G17" s="6">
        <v>0.045100000000000001</v>
      </c>
    </row>
    <row r="18">
      <c r="A18">
        <v>16</v>
      </c>
      <c r="B18" s="4">
        <v>0.29299999999999998</v>
      </c>
      <c r="C18" s="5">
        <v>16.300000000000001</v>
      </c>
      <c r="D18" s="6">
        <v>0.036600000000000001</v>
      </c>
      <c r="E18" s="6">
        <v>0.71879999999999999</v>
      </c>
      <c r="F18" s="6">
        <v>0.0015</v>
      </c>
      <c r="G18" s="6">
        <v>0.0286</v>
      </c>
    </row>
    <row r="19">
      <c r="A19">
        <v>17</v>
      </c>
      <c r="B19" s="4">
        <v>0.29980000000000001</v>
      </c>
      <c r="C19" s="5">
        <v>16.219999999999999</v>
      </c>
      <c r="D19" s="6">
        <v>0.038600000000000002</v>
      </c>
      <c r="E19" s="6">
        <v>0.99929999999999997</v>
      </c>
      <c r="F19" s="6">
        <v>0.0015</v>
      </c>
      <c r="G19" s="6">
        <v>0.039699999999999999</v>
      </c>
    </row>
    <row r="20">
      <c r="A20">
        <v>18</v>
      </c>
      <c r="B20" s="4">
        <v>0.28889999999999999</v>
      </c>
      <c r="C20" s="5">
        <v>15.98</v>
      </c>
      <c r="D20" s="6">
        <v>0.033000000000000002</v>
      </c>
      <c r="E20" s="6">
        <v>0.6663</v>
      </c>
      <c r="F20" s="6">
        <v>0.0012999999999999999</v>
      </c>
      <c r="G20" s="6">
        <v>0.026499999999999999</v>
      </c>
    </row>
    <row r="21">
      <c r="A21">
        <v>19</v>
      </c>
      <c r="B21" s="4">
        <v>0.15179999999999999</v>
      </c>
      <c r="C21" s="5">
        <v>13.699999999999999</v>
      </c>
      <c r="D21" s="6">
        <v>0.027900000000000001</v>
      </c>
      <c r="E21" s="6">
        <v>0.64019999999999999</v>
      </c>
      <c r="F21" s="6">
        <v>0.0011000000000000001</v>
      </c>
      <c r="G21" s="6">
        <v>0.025399999999999999</v>
      </c>
    </row>
    <row r="22">
      <c r="A22">
        <v>20</v>
      </c>
      <c r="B22" s="4">
        <v>0.184</v>
      </c>
      <c r="C22" s="5">
        <v>14.380000000000001</v>
      </c>
      <c r="D22" s="6">
        <v>0.019</v>
      </c>
      <c r="E22" s="6">
        <v>0.4869</v>
      </c>
      <c r="F22" s="6">
        <v>0.00080000000000000004</v>
      </c>
      <c r="G22" s="6">
        <v>0.019300000000000001</v>
      </c>
    </row>
    <row r="23">
      <c r="A23">
        <v>21</v>
      </c>
      <c r="B23" s="4">
        <v>0.18989999999999999</v>
      </c>
      <c r="C23" s="5">
        <v>14.51</v>
      </c>
      <c r="D23" s="6">
        <v>0.030700000000000002</v>
      </c>
      <c r="E23" s="6">
        <v>0.89790000000000003</v>
      </c>
      <c r="F23" s="6">
        <v>0.0011999999999999999</v>
      </c>
      <c r="G23" s="6">
        <v>0.035700000000000003</v>
      </c>
    </row>
    <row r="24">
      <c r="A24">
        <v>22</v>
      </c>
      <c r="B24" s="4">
        <v>0.22010000000000002</v>
      </c>
      <c r="C24" s="5">
        <v>14.949999999999999</v>
      </c>
      <c r="D24" s="6">
        <v>0.033000000000000002</v>
      </c>
      <c r="E24" s="6">
        <v>0.83689999999999998</v>
      </c>
      <c r="F24" s="6">
        <v>0.0012999999999999999</v>
      </c>
      <c r="G24" s="6">
        <v>0.033300000000000003</v>
      </c>
    </row>
    <row r="25">
      <c r="A25">
        <v>23</v>
      </c>
      <c r="B25" s="4">
        <v>0.21280000000000002</v>
      </c>
      <c r="C25" s="5">
        <v>15.33</v>
      </c>
      <c r="D25" s="6">
        <v>0.0246</v>
      </c>
      <c r="E25" s="6">
        <v>0.56699999999999995</v>
      </c>
      <c r="F25" s="6">
        <v>0.001</v>
      </c>
      <c r="G25" s="6">
        <v>0.022499999999999999</v>
      </c>
    </row>
    <row r="26">
      <c r="A26">
        <v>24</v>
      </c>
      <c r="B26" s="4">
        <v>0.20100000000000001</v>
      </c>
      <c r="C26" s="5">
        <v>14.970000000000001</v>
      </c>
      <c r="D26" s="6">
        <v>0.027199999999999998</v>
      </c>
      <c r="E26" s="6">
        <v>0.71419999999999995</v>
      </c>
      <c r="F26" s="6">
        <v>0.0011000000000000001</v>
      </c>
      <c r="G26" s="6">
        <v>0.028400000000000002</v>
      </c>
    </row>
    <row r="27">
      <c r="A27">
        <v>25</v>
      </c>
      <c r="B27" s="4">
        <v>0.24940000000000001</v>
      </c>
      <c r="C27" s="5">
        <v>15.470000000000001</v>
      </c>
      <c r="D27" s="6">
        <v>0.044999999999999998</v>
      </c>
      <c r="E27" s="6">
        <v>0.89580000000000004</v>
      </c>
      <c r="F27" s="6">
        <v>0.0018</v>
      </c>
      <c r="G27" s="6">
        <v>0.0356</v>
      </c>
    </row>
    <row r="28">
      <c r="A28">
        <v>26</v>
      </c>
      <c r="B28" s="4">
        <v>0.23550000000000001</v>
      </c>
      <c r="C28" s="5">
        <v>15.449999999999999</v>
      </c>
      <c r="D28" s="6">
        <v>0.039800000000000002</v>
      </c>
      <c r="E28" s="6">
        <v>1.0485</v>
      </c>
      <c r="F28" s="6">
        <v>0.0016000000000000001</v>
      </c>
      <c r="G28" s="6">
        <v>0.041700000000000001</v>
      </c>
    </row>
    <row r="29">
      <c r="A29">
        <v>27</v>
      </c>
      <c r="B29" s="4">
        <v>0.21829999999999999</v>
      </c>
      <c r="C29" s="5">
        <v>14.800000000000001</v>
      </c>
      <c r="D29" s="6">
        <v>0.045199999999999997</v>
      </c>
      <c r="E29" s="6">
        <v>1.2756000000000001</v>
      </c>
      <c r="F29" s="6">
        <v>0.0018</v>
      </c>
      <c r="G29" s="6">
        <v>0.050700000000000002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hidden="1">
      <c r="A2">
        <v>0</v>
      </c>
      <c r="B2">
        <v>0</v>
      </c>
      <c r="C2">
        <v>88</v>
      </c>
      <c r="D2" s="9">
        <v>0.12570000000000001</v>
      </c>
      <c r="E2" s="10">
        <v>13.82</v>
      </c>
      <c r="F2">
        <v>154</v>
      </c>
      <c r="G2" s="9">
        <v>0.22</v>
      </c>
      <c r="H2" s="10">
        <v>15.68</v>
      </c>
    </row>
    <row r="3" hidden="1">
      <c r="A3">
        <v>0</v>
      </c>
      <c r="B3">
        <v>1</v>
      </c>
      <c r="C3">
        <v>40</v>
      </c>
      <c r="D3" s="9">
        <v>0.057099999999999998</v>
      </c>
      <c r="E3" s="11">
        <v>10.6</v>
      </c>
      <c r="F3">
        <v>55</v>
      </c>
      <c r="G3" s="9">
        <v>0.078600000000000003</v>
      </c>
      <c r="H3" s="10">
        <v>11.109999999999999</v>
      </c>
    </row>
    <row r="4" hidden="1">
      <c r="A4">
        <v>0</v>
      </c>
      <c r="B4">
        <v>2</v>
      </c>
      <c r="C4">
        <v>29</v>
      </c>
      <c r="D4" s="9">
        <v>0.041399999999999999</v>
      </c>
      <c r="E4" s="5">
        <v>9.5199999999999996</v>
      </c>
      <c r="F4">
        <v>69</v>
      </c>
      <c r="G4" s="9">
        <v>0.098599999999999993</v>
      </c>
      <c r="H4" s="10">
        <v>11.57</v>
      </c>
    </row>
    <row r="5" hidden="1">
      <c r="A5">
        <v>0</v>
      </c>
      <c r="B5">
        <v>3</v>
      </c>
      <c r="C5">
        <v>17</v>
      </c>
      <c r="D5" s="9">
        <v>0.024299999999999999</v>
      </c>
      <c r="E5" s="10">
        <v>10.51</v>
      </c>
      <c r="F5">
        <v>51</v>
      </c>
      <c r="G5" s="9">
        <v>0.072900000000000006</v>
      </c>
      <c r="H5" s="10">
        <v>11.77</v>
      </c>
    </row>
    <row r="6" hidden="1">
      <c r="A6">
        <v>0</v>
      </c>
      <c r="B6">
        <v>4</v>
      </c>
      <c r="C6">
        <v>160</v>
      </c>
      <c r="D6" s="9">
        <v>0.2286</v>
      </c>
      <c r="E6" s="10">
        <v>15.33</v>
      </c>
      <c r="F6">
        <v>277</v>
      </c>
      <c r="G6" s="9">
        <v>0.3957</v>
      </c>
      <c r="H6" s="10">
        <v>18.370000000000001</v>
      </c>
    </row>
    <row r="7" hidden="1">
      <c r="A7">
        <v>0</v>
      </c>
      <c r="B7">
        <v>5</v>
      </c>
      <c r="C7">
        <v>70</v>
      </c>
      <c r="D7" s="9">
        <v>0.10000000000000001</v>
      </c>
      <c r="E7" s="10">
        <v>13.130000000000001</v>
      </c>
      <c r="F7">
        <v>99</v>
      </c>
      <c r="G7" s="9">
        <v>0.1414</v>
      </c>
      <c r="H7" s="10">
        <v>14.07</v>
      </c>
    </row>
    <row r="8" hidden="1">
      <c r="A8">
        <v>0</v>
      </c>
      <c r="B8">
        <v>6</v>
      </c>
      <c r="C8">
        <v>35</v>
      </c>
      <c r="D8" s="9">
        <v>0.050000000000000003</v>
      </c>
      <c r="E8" s="10">
        <v>10.59</v>
      </c>
      <c r="F8">
        <v>47</v>
      </c>
      <c r="G8" s="9">
        <v>0.067100000000000007</v>
      </c>
      <c r="H8" s="10">
        <v>11.18</v>
      </c>
    </row>
    <row r="9" hidden="1">
      <c r="A9">
        <v>0</v>
      </c>
      <c r="B9">
        <v>7</v>
      </c>
      <c r="C9">
        <v>37</v>
      </c>
      <c r="D9" s="9">
        <v>0.052900000000000003</v>
      </c>
      <c r="E9" s="10">
        <v>10.52</v>
      </c>
      <c r="F9">
        <v>57</v>
      </c>
      <c r="G9" s="9">
        <v>0.0814</v>
      </c>
      <c r="H9" s="10">
        <v>11.68</v>
      </c>
    </row>
    <row r="10" hidden="1">
      <c r="A10">
        <v>0</v>
      </c>
      <c r="B10">
        <v>8</v>
      </c>
      <c r="C10">
        <v>67</v>
      </c>
      <c r="D10" s="9">
        <v>0.095699999999999993</v>
      </c>
      <c r="E10" s="10">
        <v>12.75</v>
      </c>
      <c r="F10">
        <v>107</v>
      </c>
      <c r="G10" s="9">
        <v>0.15290000000000001</v>
      </c>
      <c r="H10" s="10">
        <v>14.039999999999999</v>
      </c>
    </row>
    <row r="11" hidden="1">
      <c r="A11">
        <v>0</v>
      </c>
      <c r="B11">
        <v>9</v>
      </c>
      <c r="C11">
        <v>64</v>
      </c>
      <c r="D11" s="9">
        <v>0.091399999999999995</v>
      </c>
      <c r="E11" s="10">
        <v>11.720000000000001</v>
      </c>
      <c r="F11">
        <v>96</v>
      </c>
      <c r="G11" s="9">
        <v>0.1371</v>
      </c>
      <c r="H11" s="11">
        <v>12.4</v>
      </c>
    </row>
    <row r="12" hidden="1">
      <c r="A12">
        <v>1</v>
      </c>
      <c r="B12">
        <v>0</v>
      </c>
      <c r="C12">
        <v>242</v>
      </c>
      <c r="D12" s="9">
        <v>0.34570000000000001</v>
      </c>
      <c r="E12" s="10">
        <v>17.710000000000001</v>
      </c>
      <c r="F12">
        <v>397</v>
      </c>
      <c r="G12" s="9">
        <v>0.56710000000000005</v>
      </c>
      <c r="H12" s="10">
        <v>21.57</v>
      </c>
    </row>
    <row r="13" hidden="1">
      <c r="A13">
        <v>1</v>
      </c>
      <c r="B13">
        <v>1</v>
      </c>
      <c r="C13">
        <v>245</v>
      </c>
      <c r="D13" s="9">
        <v>0.34999999999999998</v>
      </c>
      <c r="E13" s="10">
        <v>17.27</v>
      </c>
      <c r="F13">
        <v>395</v>
      </c>
      <c r="G13" s="9">
        <v>0.56430000000000002</v>
      </c>
      <c r="H13" s="11">
        <v>20.600000000000001</v>
      </c>
    </row>
    <row r="14" hidden="1">
      <c r="A14">
        <v>1</v>
      </c>
      <c r="B14">
        <v>2</v>
      </c>
      <c r="C14">
        <v>257</v>
      </c>
      <c r="D14" s="9">
        <v>0.36709999999999998</v>
      </c>
      <c r="E14" s="10">
        <v>17.949999999999999</v>
      </c>
      <c r="F14">
        <v>357</v>
      </c>
      <c r="G14" s="9">
        <v>0.51000000000000001</v>
      </c>
      <c r="H14" s="10">
        <v>19.809999999999999</v>
      </c>
    </row>
    <row r="15" hidden="1">
      <c r="A15">
        <v>1</v>
      </c>
      <c r="B15">
        <v>3</v>
      </c>
      <c r="C15">
        <v>253</v>
      </c>
      <c r="D15" s="9">
        <v>0.3614</v>
      </c>
      <c r="E15" s="11">
        <v>18.600000000000001</v>
      </c>
      <c r="F15">
        <v>410</v>
      </c>
      <c r="G15" s="9">
        <v>0.5857</v>
      </c>
      <c r="H15" s="10">
        <v>21.379999999999999</v>
      </c>
    </row>
    <row r="16" hidden="1">
      <c r="A16">
        <v>1</v>
      </c>
      <c r="B16">
        <v>4</v>
      </c>
      <c r="C16">
        <v>245</v>
      </c>
      <c r="D16" s="9">
        <v>0.34999999999999998</v>
      </c>
      <c r="E16" s="10">
        <v>16.940000000000001</v>
      </c>
      <c r="F16">
        <v>400</v>
      </c>
      <c r="G16" s="9">
        <v>0.57140000000000002</v>
      </c>
      <c r="H16" s="10">
        <v>20.690000000000001</v>
      </c>
    </row>
    <row r="17" hidden="1">
      <c r="A17">
        <v>1</v>
      </c>
      <c r="B17">
        <v>5</v>
      </c>
      <c r="C17">
        <v>237</v>
      </c>
      <c r="D17" s="9">
        <v>0.33860000000000001</v>
      </c>
      <c r="E17" s="10">
        <v>18.16</v>
      </c>
      <c r="F17">
        <v>409</v>
      </c>
      <c r="G17" s="9">
        <v>0.58430000000000004</v>
      </c>
      <c r="H17" s="10">
        <v>21.59</v>
      </c>
    </row>
    <row r="18" hidden="1">
      <c r="A18">
        <v>1</v>
      </c>
      <c r="B18">
        <v>6</v>
      </c>
      <c r="C18">
        <v>280</v>
      </c>
      <c r="D18" s="9">
        <v>0.40000000000000002</v>
      </c>
      <c r="E18" s="10">
        <v>18.18</v>
      </c>
      <c r="F18">
        <v>415</v>
      </c>
      <c r="G18" s="9">
        <v>0.59289999999999998</v>
      </c>
      <c r="H18" s="10">
        <v>21.77</v>
      </c>
    </row>
    <row r="19" hidden="1">
      <c r="A19">
        <v>1</v>
      </c>
      <c r="B19">
        <v>7</v>
      </c>
      <c r="C19">
        <v>252</v>
      </c>
      <c r="D19" s="9">
        <v>0.35999999999999999</v>
      </c>
      <c r="E19" s="10">
        <v>17.440000000000001</v>
      </c>
      <c r="F19">
        <v>371</v>
      </c>
      <c r="G19" s="9">
        <v>0.53000000000000003</v>
      </c>
      <c r="H19" s="10">
        <v>20.649999999999999</v>
      </c>
    </row>
    <row r="20" hidden="1">
      <c r="A20">
        <v>1</v>
      </c>
      <c r="B20">
        <v>8</v>
      </c>
      <c r="C20">
        <v>276</v>
      </c>
      <c r="D20" s="9">
        <v>0.39429999999999998</v>
      </c>
      <c r="E20" s="10">
        <v>18.23</v>
      </c>
      <c r="F20">
        <v>412</v>
      </c>
      <c r="G20" s="9">
        <v>0.58860000000000001</v>
      </c>
      <c r="H20" s="10">
        <v>21.039999999999999</v>
      </c>
    </row>
    <row r="21" hidden="1">
      <c r="A21">
        <v>1</v>
      </c>
      <c r="B21">
        <v>9</v>
      </c>
      <c r="C21">
        <v>226</v>
      </c>
      <c r="D21" s="9">
        <v>0.32290000000000002</v>
      </c>
      <c r="E21" s="10">
        <v>16.84</v>
      </c>
      <c r="F21">
        <v>425</v>
      </c>
      <c r="G21" s="9">
        <v>0.60709999999999997</v>
      </c>
      <c r="H21" s="10">
        <v>21.379999999999999</v>
      </c>
    </row>
    <row r="22" hidden="1">
      <c r="A22">
        <v>2</v>
      </c>
      <c r="B22">
        <v>0</v>
      </c>
      <c r="C22">
        <v>191</v>
      </c>
      <c r="D22" s="9">
        <v>0.27289999999999998</v>
      </c>
      <c r="E22" s="11">
        <v>15.300000000000001</v>
      </c>
      <c r="F22">
        <v>362</v>
      </c>
      <c r="G22" s="9">
        <v>0.5171</v>
      </c>
      <c r="H22" s="10">
        <v>20.16</v>
      </c>
    </row>
    <row r="23" hidden="1">
      <c r="A23">
        <v>2</v>
      </c>
      <c r="B23">
        <v>1</v>
      </c>
      <c r="C23">
        <v>218</v>
      </c>
      <c r="D23" s="9">
        <v>0.31140000000000001</v>
      </c>
      <c r="E23" s="10">
        <v>17.18</v>
      </c>
      <c r="F23">
        <v>334</v>
      </c>
      <c r="G23" s="9">
        <v>0.47710000000000002</v>
      </c>
      <c r="H23" s="11">
        <v>19.5</v>
      </c>
    </row>
    <row r="24" hidden="1">
      <c r="A24">
        <v>2</v>
      </c>
      <c r="B24">
        <v>2</v>
      </c>
      <c r="C24">
        <v>248</v>
      </c>
      <c r="D24" s="9">
        <v>0.3543</v>
      </c>
      <c r="E24" s="10">
        <v>18.02</v>
      </c>
      <c r="F24">
        <v>387</v>
      </c>
      <c r="G24" s="9">
        <v>0.55289999999999995</v>
      </c>
      <c r="H24" s="10">
        <v>21.129999999999999</v>
      </c>
    </row>
    <row r="25" hidden="1">
      <c r="A25">
        <v>2</v>
      </c>
      <c r="B25">
        <v>3</v>
      </c>
      <c r="C25">
        <v>185</v>
      </c>
      <c r="D25" s="9">
        <v>0.26429999999999998</v>
      </c>
      <c r="E25" s="10">
        <v>15.77</v>
      </c>
      <c r="F25">
        <v>367</v>
      </c>
      <c r="G25" s="9">
        <v>0.52429999999999999</v>
      </c>
      <c r="H25" s="10">
        <v>20.309999999999999</v>
      </c>
    </row>
    <row r="26" hidden="1">
      <c r="A26">
        <v>2</v>
      </c>
      <c r="B26">
        <v>4</v>
      </c>
      <c r="C26">
        <v>209</v>
      </c>
      <c r="D26" s="9">
        <v>0.29859999999999998</v>
      </c>
      <c r="E26" s="10">
        <v>15.779999999999999</v>
      </c>
      <c r="F26">
        <v>380</v>
      </c>
      <c r="G26" s="9">
        <v>0.54290000000000005</v>
      </c>
      <c r="H26" s="10">
        <v>20.219999999999999</v>
      </c>
    </row>
    <row r="27" hidden="1">
      <c r="A27">
        <v>2</v>
      </c>
      <c r="B27">
        <v>5</v>
      </c>
      <c r="C27">
        <v>217</v>
      </c>
      <c r="D27" s="9">
        <v>0.31</v>
      </c>
      <c r="E27" s="10">
        <v>16.030000000000001</v>
      </c>
      <c r="F27">
        <v>435</v>
      </c>
      <c r="G27" s="9">
        <v>0.62139999999999995</v>
      </c>
      <c r="H27" s="10">
        <v>21.289999999999999</v>
      </c>
    </row>
    <row r="28" hidden="1">
      <c r="A28">
        <v>2</v>
      </c>
      <c r="B28">
        <v>6</v>
      </c>
      <c r="C28">
        <v>198</v>
      </c>
      <c r="D28" s="9">
        <v>0.28289999999999998</v>
      </c>
      <c r="E28" s="10">
        <v>15.630000000000001</v>
      </c>
      <c r="F28">
        <v>375</v>
      </c>
      <c r="G28" s="9">
        <v>0.53569999999999995</v>
      </c>
      <c r="H28" s="10">
        <v>20.02</v>
      </c>
    </row>
    <row r="29" hidden="1">
      <c r="A29">
        <v>2</v>
      </c>
      <c r="B29">
        <v>7</v>
      </c>
      <c r="C29">
        <v>260</v>
      </c>
      <c r="D29" s="9">
        <v>0.37140000000000001</v>
      </c>
      <c r="E29" s="10">
        <v>17.52</v>
      </c>
      <c r="F29">
        <v>393</v>
      </c>
      <c r="G29" s="9">
        <v>0.56140000000000001</v>
      </c>
      <c r="H29" s="10">
        <v>20.530000000000001</v>
      </c>
    </row>
    <row r="30" hidden="1">
      <c r="A30">
        <v>2</v>
      </c>
      <c r="B30">
        <v>8</v>
      </c>
      <c r="C30">
        <v>218</v>
      </c>
      <c r="D30" s="9">
        <v>0.31140000000000001</v>
      </c>
      <c r="E30" s="10">
        <v>16.43</v>
      </c>
      <c r="F30">
        <v>397</v>
      </c>
      <c r="G30" s="9">
        <v>0.56710000000000005</v>
      </c>
      <c r="H30" s="10">
        <v>20.890000000000001</v>
      </c>
    </row>
    <row r="31" hidden="1">
      <c r="A31">
        <v>2</v>
      </c>
      <c r="B31">
        <v>9</v>
      </c>
      <c r="C31">
        <v>233</v>
      </c>
      <c r="D31" s="9">
        <v>0.33289999999999997</v>
      </c>
      <c r="E31" s="10">
        <v>17.120000000000001</v>
      </c>
      <c r="F31">
        <v>369</v>
      </c>
      <c r="G31" s="9">
        <v>0.52710000000000001</v>
      </c>
      <c r="H31" s="11">
        <v>19.899999999999999</v>
      </c>
    </row>
    <row r="32" hidden="1">
      <c r="A32">
        <v>3</v>
      </c>
      <c r="B32">
        <v>0</v>
      </c>
      <c r="C32">
        <v>210</v>
      </c>
      <c r="D32" s="9">
        <v>0.29999999999999999</v>
      </c>
      <c r="E32" s="10">
        <v>16.359999999999999</v>
      </c>
      <c r="F32">
        <v>363</v>
      </c>
      <c r="G32" s="9">
        <v>0.51859999999999995</v>
      </c>
      <c r="H32" s="10">
        <v>19.789999999999999</v>
      </c>
    </row>
    <row r="33" hidden="1">
      <c r="A33">
        <v>3</v>
      </c>
      <c r="B33">
        <v>1</v>
      </c>
      <c r="C33">
        <v>196</v>
      </c>
      <c r="D33" s="9">
        <v>0.28000000000000003</v>
      </c>
      <c r="E33" s="10">
        <v>16.09</v>
      </c>
      <c r="F33">
        <v>378</v>
      </c>
      <c r="G33" s="9">
        <v>0.54000000000000004</v>
      </c>
      <c r="H33" s="10">
        <v>20.289999999999999</v>
      </c>
    </row>
    <row r="34" hidden="1">
      <c r="A34">
        <v>3</v>
      </c>
      <c r="B34">
        <v>2</v>
      </c>
      <c r="C34">
        <v>163</v>
      </c>
      <c r="D34" s="9">
        <v>0.2329</v>
      </c>
      <c r="E34" s="10">
        <v>15.43</v>
      </c>
      <c r="F34">
        <v>365</v>
      </c>
      <c r="G34" s="9">
        <v>0.52139999999999997</v>
      </c>
      <c r="H34" s="10">
        <v>19.739999999999998</v>
      </c>
    </row>
    <row r="35" hidden="1">
      <c r="A35">
        <v>3</v>
      </c>
      <c r="B35">
        <v>3</v>
      </c>
      <c r="C35">
        <v>205</v>
      </c>
      <c r="D35" s="9">
        <v>0.29289999999999999</v>
      </c>
      <c r="E35" s="10">
        <v>15.81</v>
      </c>
      <c r="F35">
        <v>368</v>
      </c>
      <c r="G35" s="9">
        <v>0.52569999999999995</v>
      </c>
      <c r="H35" s="10">
        <v>19.620000000000001</v>
      </c>
    </row>
    <row r="36" hidden="1">
      <c r="A36">
        <v>3</v>
      </c>
      <c r="B36">
        <v>4</v>
      </c>
      <c r="C36">
        <v>185</v>
      </c>
      <c r="D36" s="9">
        <v>0.26429999999999998</v>
      </c>
      <c r="E36" s="10">
        <v>14.99</v>
      </c>
      <c r="F36">
        <v>360</v>
      </c>
      <c r="G36" s="9">
        <v>0.51429999999999998</v>
      </c>
      <c r="H36" s="11">
        <v>19.899999999999999</v>
      </c>
    </row>
    <row r="37" hidden="1">
      <c r="A37">
        <v>3</v>
      </c>
      <c r="B37">
        <v>5</v>
      </c>
      <c r="C37">
        <v>188</v>
      </c>
      <c r="D37" s="9">
        <v>0.26860000000000001</v>
      </c>
      <c r="E37" s="10">
        <v>15.74</v>
      </c>
      <c r="F37">
        <v>365</v>
      </c>
      <c r="G37" s="9">
        <v>0.52139999999999997</v>
      </c>
      <c r="H37" s="10">
        <v>20.149999999999999</v>
      </c>
    </row>
    <row r="38" hidden="1">
      <c r="A38">
        <v>3</v>
      </c>
      <c r="B38">
        <v>6</v>
      </c>
      <c r="C38">
        <v>165</v>
      </c>
      <c r="D38" s="9">
        <v>0.23569999999999999</v>
      </c>
      <c r="E38" s="11">
        <v>14.6</v>
      </c>
      <c r="F38">
        <v>368</v>
      </c>
      <c r="G38" s="9">
        <v>0.52569999999999995</v>
      </c>
      <c r="H38" s="10">
        <v>20.370000000000001</v>
      </c>
    </row>
    <row r="39" hidden="1">
      <c r="A39">
        <v>3</v>
      </c>
      <c r="B39">
        <v>7</v>
      </c>
      <c r="C39">
        <v>198</v>
      </c>
      <c r="D39" s="9">
        <v>0.28289999999999998</v>
      </c>
      <c r="E39" s="10">
        <v>15.94</v>
      </c>
      <c r="F39">
        <v>367</v>
      </c>
      <c r="G39" s="9">
        <v>0.52429999999999999</v>
      </c>
      <c r="H39" s="10">
        <v>20.030000000000001</v>
      </c>
    </row>
    <row r="40" hidden="1">
      <c r="A40">
        <v>3</v>
      </c>
      <c r="B40">
        <v>8</v>
      </c>
      <c r="C40">
        <v>155</v>
      </c>
      <c r="D40" s="9">
        <v>0.22140000000000001</v>
      </c>
      <c r="E40" s="10">
        <v>14.18</v>
      </c>
      <c r="F40">
        <v>325</v>
      </c>
      <c r="G40" s="9">
        <v>0.46429999999999999</v>
      </c>
      <c r="H40" s="10">
        <v>18.969999999999999</v>
      </c>
    </row>
    <row r="41" hidden="1">
      <c r="A41">
        <v>3</v>
      </c>
      <c r="B41">
        <v>9</v>
      </c>
      <c r="C41">
        <v>183</v>
      </c>
      <c r="D41" s="9">
        <v>0.26140000000000002</v>
      </c>
      <c r="E41" s="10">
        <v>14.720000000000001</v>
      </c>
      <c r="F41">
        <v>355</v>
      </c>
      <c r="G41" s="9">
        <v>0.5071</v>
      </c>
      <c r="H41" s="10">
        <v>19.690000000000001</v>
      </c>
    </row>
    <row r="42" hidden="1">
      <c r="A42">
        <v>4</v>
      </c>
      <c r="B42">
        <v>0</v>
      </c>
      <c r="C42">
        <v>233</v>
      </c>
      <c r="D42" s="9">
        <v>0.33289999999999997</v>
      </c>
      <c r="E42" s="10">
        <v>17.629999999999999</v>
      </c>
      <c r="F42">
        <v>404</v>
      </c>
      <c r="G42" s="9">
        <v>0.57709999999999995</v>
      </c>
      <c r="H42" s="10">
        <v>21.120000000000001</v>
      </c>
    </row>
    <row r="43" hidden="1">
      <c r="A43">
        <v>4</v>
      </c>
      <c r="B43">
        <v>1</v>
      </c>
      <c r="C43">
        <v>167</v>
      </c>
      <c r="D43" s="9">
        <v>0.23860000000000001</v>
      </c>
      <c r="E43" s="10">
        <v>14.970000000000001</v>
      </c>
      <c r="F43">
        <v>358</v>
      </c>
      <c r="G43" s="9">
        <v>0.51139999999999997</v>
      </c>
      <c r="H43" s="10">
        <v>20.140000000000001</v>
      </c>
    </row>
    <row r="44" hidden="1">
      <c r="A44">
        <v>4</v>
      </c>
      <c r="B44">
        <v>2</v>
      </c>
      <c r="C44">
        <v>243</v>
      </c>
      <c r="D44" s="9">
        <v>0.34710000000000002</v>
      </c>
      <c r="E44" s="10">
        <v>17.449999999999999</v>
      </c>
      <c r="F44">
        <v>403</v>
      </c>
      <c r="G44" s="9">
        <v>0.57569999999999999</v>
      </c>
      <c r="H44" s="10">
        <v>21.09</v>
      </c>
    </row>
    <row r="45" hidden="1">
      <c r="A45">
        <v>4</v>
      </c>
      <c r="B45">
        <v>3</v>
      </c>
      <c r="C45">
        <v>217</v>
      </c>
      <c r="D45" s="9">
        <v>0.31</v>
      </c>
      <c r="E45" s="10">
        <v>16.190000000000001</v>
      </c>
      <c r="F45">
        <v>356</v>
      </c>
      <c r="G45" s="9">
        <v>0.50860000000000005</v>
      </c>
      <c r="H45" s="10">
        <v>20.129999999999999</v>
      </c>
    </row>
    <row r="46" hidden="1">
      <c r="A46">
        <v>4</v>
      </c>
      <c r="B46">
        <v>4</v>
      </c>
      <c r="C46">
        <v>259</v>
      </c>
      <c r="D46" s="9">
        <v>0.37</v>
      </c>
      <c r="E46" s="10">
        <v>18.32</v>
      </c>
      <c r="F46">
        <v>379</v>
      </c>
      <c r="G46" s="9">
        <v>0.54139999999999999</v>
      </c>
      <c r="H46" s="10">
        <v>21.010000000000002</v>
      </c>
    </row>
    <row r="47" hidden="1">
      <c r="A47">
        <v>4</v>
      </c>
      <c r="B47">
        <v>5</v>
      </c>
      <c r="C47">
        <v>171</v>
      </c>
      <c r="D47" s="9">
        <v>0.24429999999999999</v>
      </c>
      <c r="E47" s="10">
        <v>15.859999999999999</v>
      </c>
      <c r="F47">
        <v>361</v>
      </c>
      <c r="G47" s="9">
        <v>0.51570000000000005</v>
      </c>
      <c r="H47" s="10">
        <v>20.460000000000001</v>
      </c>
    </row>
    <row r="48" hidden="1">
      <c r="A48">
        <v>4</v>
      </c>
      <c r="B48">
        <v>6</v>
      </c>
      <c r="C48">
        <v>211</v>
      </c>
      <c r="D48" s="9">
        <v>0.3014</v>
      </c>
      <c r="E48" s="10">
        <v>16.829999999999998</v>
      </c>
      <c r="F48">
        <v>389</v>
      </c>
      <c r="G48" s="9">
        <v>0.55569999999999997</v>
      </c>
      <c r="H48" s="10">
        <v>20.640000000000001</v>
      </c>
    </row>
    <row r="49" hidden="1">
      <c r="A49">
        <v>4</v>
      </c>
      <c r="B49">
        <v>7</v>
      </c>
      <c r="C49">
        <v>237</v>
      </c>
      <c r="D49" s="9">
        <v>0.33860000000000001</v>
      </c>
      <c r="E49" s="10">
        <v>17.640000000000001</v>
      </c>
      <c r="F49">
        <v>369</v>
      </c>
      <c r="G49" s="9">
        <v>0.52710000000000001</v>
      </c>
      <c r="H49" s="11">
        <v>20.699999999999999</v>
      </c>
    </row>
    <row r="50" hidden="1">
      <c r="A50">
        <v>4</v>
      </c>
      <c r="B50">
        <v>8</v>
      </c>
      <c r="C50">
        <v>186</v>
      </c>
      <c r="D50" s="9">
        <v>0.26569999999999999</v>
      </c>
      <c r="E50" s="10">
        <v>15.16</v>
      </c>
      <c r="F50">
        <v>367</v>
      </c>
      <c r="G50" s="9">
        <v>0.52429999999999999</v>
      </c>
      <c r="H50" s="10">
        <v>19.870000000000001</v>
      </c>
    </row>
    <row r="51" hidden="1">
      <c r="A51">
        <v>4</v>
      </c>
      <c r="B51">
        <v>9</v>
      </c>
      <c r="C51">
        <v>248</v>
      </c>
      <c r="D51" s="9">
        <v>0.3543</v>
      </c>
      <c r="E51" s="10">
        <v>17.670000000000002</v>
      </c>
      <c r="F51">
        <v>377</v>
      </c>
      <c r="G51" s="9">
        <v>0.53859999999999997</v>
      </c>
      <c r="H51" s="10">
        <v>20.359999999999999</v>
      </c>
    </row>
    <row r="52" hidden="1">
      <c r="A52">
        <v>5</v>
      </c>
      <c r="B52">
        <v>0</v>
      </c>
      <c r="C52">
        <v>234</v>
      </c>
      <c r="D52" s="9">
        <v>0.33429999999999999</v>
      </c>
      <c r="E52" s="10">
        <v>16.719999999999999</v>
      </c>
      <c r="F52">
        <v>409</v>
      </c>
      <c r="G52" s="9">
        <v>0.58430000000000004</v>
      </c>
      <c r="H52" s="10">
        <v>20.489999999999998</v>
      </c>
    </row>
    <row r="53" hidden="1">
      <c r="A53">
        <v>5</v>
      </c>
      <c r="B53">
        <v>1</v>
      </c>
      <c r="C53">
        <v>214</v>
      </c>
      <c r="D53" s="9">
        <v>0.30570000000000003</v>
      </c>
      <c r="E53" s="10">
        <v>16.309999999999999</v>
      </c>
      <c r="F53">
        <v>381</v>
      </c>
      <c r="G53" s="9">
        <v>0.54430000000000001</v>
      </c>
      <c r="H53" s="10">
        <v>20.280000000000001</v>
      </c>
    </row>
    <row r="54" hidden="1">
      <c r="A54">
        <v>5</v>
      </c>
      <c r="B54">
        <v>2</v>
      </c>
      <c r="C54">
        <v>242</v>
      </c>
      <c r="D54" s="9">
        <v>0.34570000000000001</v>
      </c>
      <c r="E54" s="10">
        <v>17.420000000000002</v>
      </c>
      <c r="F54">
        <v>395</v>
      </c>
      <c r="G54" s="9">
        <v>0.56430000000000002</v>
      </c>
      <c r="H54" s="10">
        <v>20.82</v>
      </c>
    </row>
    <row r="55" hidden="1">
      <c r="A55">
        <v>5</v>
      </c>
      <c r="B55">
        <v>3</v>
      </c>
      <c r="C55">
        <v>222</v>
      </c>
      <c r="D55" s="9">
        <v>0.31709999999999999</v>
      </c>
      <c r="E55" s="11">
        <v>16.399999999999999</v>
      </c>
      <c r="F55">
        <v>350</v>
      </c>
      <c r="G55" s="9">
        <v>0.5</v>
      </c>
      <c r="H55" s="10">
        <v>19.280000000000001</v>
      </c>
    </row>
    <row r="56" hidden="1">
      <c r="A56">
        <v>5</v>
      </c>
      <c r="B56">
        <v>4</v>
      </c>
      <c r="C56">
        <v>239</v>
      </c>
      <c r="D56" s="9">
        <v>0.34139999999999998</v>
      </c>
      <c r="E56" s="10">
        <v>17.41</v>
      </c>
      <c r="F56">
        <v>385</v>
      </c>
      <c r="G56" s="9">
        <v>0.55000000000000004</v>
      </c>
      <c r="H56" s="10">
        <v>21.18</v>
      </c>
    </row>
    <row r="57" hidden="1">
      <c r="A57">
        <v>5</v>
      </c>
      <c r="B57">
        <v>5</v>
      </c>
      <c r="C57">
        <v>243</v>
      </c>
      <c r="D57" s="9">
        <v>0.34710000000000002</v>
      </c>
      <c r="E57" s="10">
        <v>16.739999999999998</v>
      </c>
      <c r="F57">
        <v>400</v>
      </c>
      <c r="G57" s="9">
        <v>0.57140000000000002</v>
      </c>
      <c r="H57" s="10">
        <v>20.710000000000001</v>
      </c>
    </row>
    <row r="58" hidden="1">
      <c r="A58">
        <v>5</v>
      </c>
      <c r="B58">
        <v>6</v>
      </c>
      <c r="C58">
        <v>217</v>
      </c>
      <c r="D58" s="9">
        <v>0.31</v>
      </c>
      <c r="E58" s="11">
        <v>16.800000000000001</v>
      </c>
      <c r="F58">
        <v>379</v>
      </c>
      <c r="G58" s="9">
        <v>0.54139999999999999</v>
      </c>
      <c r="H58" s="10">
        <v>20.16</v>
      </c>
    </row>
    <row r="59" hidden="1">
      <c r="A59">
        <v>5</v>
      </c>
      <c r="B59">
        <v>7</v>
      </c>
      <c r="C59">
        <v>224</v>
      </c>
      <c r="D59" s="9">
        <v>0.32000000000000001</v>
      </c>
      <c r="E59" s="10">
        <v>16.690000000000001</v>
      </c>
      <c r="F59">
        <v>406</v>
      </c>
      <c r="G59" s="9">
        <v>0.57999999999999996</v>
      </c>
      <c r="H59" s="10">
        <v>20.739999999999998</v>
      </c>
    </row>
    <row r="60" hidden="1">
      <c r="A60">
        <v>5</v>
      </c>
      <c r="B60">
        <v>8</v>
      </c>
      <c r="C60">
        <v>267</v>
      </c>
      <c r="D60" s="9">
        <v>0.38140000000000002</v>
      </c>
      <c r="E60" s="11">
        <v>18</v>
      </c>
      <c r="F60">
        <v>363</v>
      </c>
      <c r="G60" s="9">
        <v>0.51859999999999995</v>
      </c>
      <c r="H60" s="10">
        <v>20.460000000000001</v>
      </c>
    </row>
    <row r="61" hidden="1">
      <c r="A61">
        <v>5</v>
      </c>
      <c r="B61">
        <v>9</v>
      </c>
      <c r="C61">
        <v>250</v>
      </c>
      <c r="D61" s="9">
        <v>0.35709999999999997</v>
      </c>
      <c r="E61" s="10">
        <v>17.379999999999999</v>
      </c>
      <c r="F61">
        <v>374</v>
      </c>
      <c r="G61" s="9">
        <v>0.5343</v>
      </c>
      <c r="H61" s="10">
        <v>20.489999999999998</v>
      </c>
    </row>
    <row r="62" hidden="1">
      <c r="A62">
        <v>6</v>
      </c>
      <c r="B62">
        <v>0</v>
      </c>
      <c r="C62">
        <v>230</v>
      </c>
      <c r="D62" s="9">
        <v>0.3286</v>
      </c>
      <c r="E62" s="10">
        <v>16.460000000000001</v>
      </c>
      <c r="F62">
        <v>370</v>
      </c>
      <c r="G62" s="9">
        <v>0.52859999999999996</v>
      </c>
      <c r="H62" s="10">
        <v>19.940000000000001</v>
      </c>
    </row>
    <row r="63" hidden="1">
      <c r="A63">
        <v>6</v>
      </c>
      <c r="B63">
        <v>1</v>
      </c>
      <c r="C63">
        <v>244</v>
      </c>
      <c r="D63" s="9">
        <v>0.34860000000000002</v>
      </c>
      <c r="E63" s="10">
        <v>17.210000000000001</v>
      </c>
      <c r="F63">
        <v>393</v>
      </c>
      <c r="G63" s="9">
        <v>0.56140000000000001</v>
      </c>
      <c r="H63" s="10">
        <v>20.510000000000002</v>
      </c>
    </row>
    <row r="64" hidden="1">
      <c r="A64">
        <v>6</v>
      </c>
      <c r="B64">
        <v>2</v>
      </c>
      <c r="C64">
        <v>243</v>
      </c>
      <c r="D64" s="9">
        <v>0.34710000000000002</v>
      </c>
      <c r="E64" s="10">
        <v>18.129999999999999</v>
      </c>
      <c r="F64">
        <v>371</v>
      </c>
      <c r="G64" s="9">
        <v>0.53000000000000003</v>
      </c>
      <c r="H64" s="11">
        <v>20.899999999999999</v>
      </c>
    </row>
    <row r="65" hidden="1">
      <c r="A65">
        <v>6</v>
      </c>
      <c r="B65">
        <v>3</v>
      </c>
      <c r="C65">
        <v>204</v>
      </c>
      <c r="D65" s="9">
        <v>0.29139999999999999</v>
      </c>
      <c r="E65" s="11">
        <v>16.899999999999999</v>
      </c>
      <c r="F65">
        <v>340</v>
      </c>
      <c r="G65" s="9">
        <v>0.48570000000000002</v>
      </c>
      <c r="H65" s="10">
        <v>19.780000000000001</v>
      </c>
    </row>
    <row r="66" hidden="1">
      <c r="A66">
        <v>6</v>
      </c>
      <c r="B66">
        <v>4</v>
      </c>
      <c r="C66">
        <v>168</v>
      </c>
      <c r="D66" s="9">
        <v>0.23999999999999999</v>
      </c>
      <c r="E66" s="10">
        <v>14.74</v>
      </c>
      <c r="F66">
        <v>377</v>
      </c>
      <c r="G66" s="9">
        <v>0.53859999999999997</v>
      </c>
      <c r="H66" s="10">
        <v>19.75</v>
      </c>
    </row>
    <row r="67" hidden="1">
      <c r="A67">
        <v>6</v>
      </c>
      <c r="B67">
        <v>5</v>
      </c>
      <c r="C67">
        <v>208</v>
      </c>
      <c r="D67" s="9">
        <v>0.29709999999999998</v>
      </c>
      <c r="E67" s="10">
        <v>16.739999999999998</v>
      </c>
      <c r="F67">
        <v>370</v>
      </c>
      <c r="G67" s="9">
        <v>0.52859999999999996</v>
      </c>
      <c r="H67" s="10">
        <v>20.940000000000001</v>
      </c>
    </row>
    <row r="68" hidden="1">
      <c r="A68">
        <v>6</v>
      </c>
      <c r="B68">
        <v>6</v>
      </c>
      <c r="C68">
        <v>243</v>
      </c>
      <c r="D68" s="9">
        <v>0.34710000000000002</v>
      </c>
      <c r="E68" s="10">
        <v>17.550000000000001</v>
      </c>
      <c r="F68">
        <v>390</v>
      </c>
      <c r="G68" s="9">
        <v>0.55710000000000004</v>
      </c>
      <c r="H68" s="10">
        <v>20.82</v>
      </c>
    </row>
    <row r="69" hidden="1">
      <c r="A69">
        <v>6</v>
      </c>
      <c r="B69">
        <v>7</v>
      </c>
      <c r="C69">
        <v>194</v>
      </c>
      <c r="D69" s="9">
        <v>0.27710000000000001</v>
      </c>
      <c r="E69" s="10">
        <v>15.85</v>
      </c>
      <c r="F69">
        <v>376</v>
      </c>
      <c r="G69" s="9">
        <v>0.53710000000000002</v>
      </c>
      <c r="H69" s="10">
        <v>20.260000000000002</v>
      </c>
    </row>
    <row r="70" hidden="1">
      <c r="A70">
        <v>6</v>
      </c>
      <c r="B70">
        <v>8</v>
      </c>
      <c r="C70">
        <v>227</v>
      </c>
      <c r="D70" s="9">
        <v>0.32429999999999998</v>
      </c>
      <c r="E70" s="10">
        <v>16.620000000000001</v>
      </c>
      <c r="F70">
        <v>374</v>
      </c>
      <c r="G70" s="9">
        <v>0.5343</v>
      </c>
      <c r="H70" s="10">
        <v>20.370000000000001</v>
      </c>
    </row>
    <row r="71" hidden="1">
      <c r="A71">
        <v>6</v>
      </c>
      <c r="B71">
        <v>9</v>
      </c>
      <c r="C71">
        <v>210</v>
      </c>
      <c r="D71" s="9">
        <v>0.29999999999999999</v>
      </c>
      <c r="E71" s="10">
        <v>16.84</v>
      </c>
      <c r="F71">
        <v>352</v>
      </c>
      <c r="G71" s="9">
        <v>0.50290000000000001</v>
      </c>
      <c r="H71" s="10">
        <v>19.940000000000001</v>
      </c>
    </row>
    <row r="72" hidden="1">
      <c r="A72">
        <v>7</v>
      </c>
      <c r="B72">
        <v>0</v>
      </c>
      <c r="C72">
        <v>197</v>
      </c>
      <c r="D72" s="9">
        <v>0.28139999999999998</v>
      </c>
      <c r="E72" s="10">
        <v>17.030000000000001</v>
      </c>
      <c r="F72">
        <v>323</v>
      </c>
      <c r="G72" s="9">
        <v>0.46139999999999998</v>
      </c>
      <c r="H72" s="10">
        <v>19.280000000000001</v>
      </c>
    </row>
    <row r="73" hidden="1">
      <c r="A73">
        <v>7</v>
      </c>
      <c r="B73">
        <v>1</v>
      </c>
      <c r="C73">
        <v>274</v>
      </c>
      <c r="D73" s="9">
        <v>0.39140000000000003</v>
      </c>
      <c r="E73" s="10">
        <v>18.609999999999999</v>
      </c>
      <c r="F73">
        <v>399</v>
      </c>
      <c r="G73" s="9">
        <v>0.56999999999999995</v>
      </c>
      <c r="H73" s="10">
        <v>21.109999999999999</v>
      </c>
    </row>
    <row r="74" hidden="1">
      <c r="A74">
        <v>7</v>
      </c>
      <c r="B74">
        <v>2</v>
      </c>
      <c r="C74">
        <v>169</v>
      </c>
      <c r="D74" s="9">
        <v>0.2414</v>
      </c>
      <c r="E74" s="10">
        <v>15.960000000000001</v>
      </c>
      <c r="F74">
        <v>240</v>
      </c>
      <c r="G74" s="9">
        <v>0.34289999999999998</v>
      </c>
      <c r="H74" s="10">
        <v>17.469999999999999</v>
      </c>
    </row>
    <row r="75" hidden="1">
      <c r="A75">
        <v>7</v>
      </c>
      <c r="B75">
        <v>3</v>
      </c>
      <c r="C75">
        <v>240</v>
      </c>
      <c r="D75" s="9">
        <v>0.34289999999999998</v>
      </c>
      <c r="E75" s="10">
        <v>17.920000000000002</v>
      </c>
      <c r="F75">
        <v>378</v>
      </c>
      <c r="G75" s="9">
        <v>0.54000000000000004</v>
      </c>
      <c r="H75" s="10">
        <v>21.16</v>
      </c>
    </row>
    <row r="76" hidden="1">
      <c r="A76">
        <v>7</v>
      </c>
      <c r="B76">
        <v>4</v>
      </c>
      <c r="C76">
        <v>95</v>
      </c>
      <c r="D76" s="9">
        <v>0.13569999999999999</v>
      </c>
      <c r="E76" s="10">
        <v>13.17</v>
      </c>
      <c r="F76">
        <v>186</v>
      </c>
      <c r="G76" s="9">
        <v>0.26569999999999999</v>
      </c>
      <c r="H76" s="10">
        <v>16.170000000000002</v>
      </c>
    </row>
    <row r="77" hidden="1">
      <c r="A77">
        <v>7</v>
      </c>
      <c r="B77">
        <v>5</v>
      </c>
      <c r="C77">
        <v>184</v>
      </c>
      <c r="D77" s="9">
        <v>0.26290000000000002</v>
      </c>
      <c r="E77" s="10">
        <v>16.27</v>
      </c>
      <c r="F77">
        <v>282</v>
      </c>
      <c r="G77" s="9">
        <v>0.40289999999999998</v>
      </c>
      <c r="H77" s="11">
        <v>18.600000000000001</v>
      </c>
    </row>
    <row r="78" hidden="1">
      <c r="A78">
        <v>7</v>
      </c>
      <c r="B78">
        <v>6</v>
      </c>
      <c r="C78">
        <v>242</v>
      </c>
      <c r="D78" s="9">
        <v>0.34570000000000001</v>
      </c>
      <c r="E78" s="10">
        <v>17.789999999999999</v>
      </c>
      <c r="F78">
        <v>385</v>
      </c>
      <c r="G78" s="9">
        <v>0.55000000000000004</v>
      </c>
      <c r="H78" s="10">
        <v>21.25</v>
      </c>
    </row>
    <row r="79" hidden="1">
      <c r="A79">
        <v>7</v>
      </c>
      <c r="B79">
        <v>7</v>
      </c>
      <c r="C79">
        <v>233</v>
      </c>
      <c r="D79" s="9">
        <v>0.33289999999999997</v>
      </c>
      <c r="E79" s="10">
        <v>17.850000000000001</v>
      </c>
      <c r="F79">
        <v>376</v>
      </c>
      <c r="G79" s="9">
        <v>0.53710000000000002</v>
      </c>
      <c r="H79" s="10">
        <v>21.289999999999999</v>
      </c>
    </row>
    <row r="80" hidden="1">
      <c r="A80">
        <v>7</v>
      </c>
      <c r="B80">
        <v>8</v>
      </c>
      <c r="C80">
        <v>231</v>
      </c>
      <c r="D80" s="9">
        <v>0.33000000000000002</v>
      </c>
      <c r="E80" s="10">
        <v>17.09</v>
      </c>
      <c r="F80">
        <v>378</v>
      </c>
      <c r="G80" s="9">
        <v>0.54000000000000004</v>
      </c>
      <c r="H80" s="10">
        <v>20.93</v>
      </c>
    </row>
    <row r="81" hidden="1">
      <c r="A81">
        <v>7</v>
      </c>
      <c r="B81">
        <v>9</v>
      </c>
      <c r="C81">
        <v>236</v>
      </c>
      <c r="D81" s="9">
        <v>0.33710000000000001</v>
      </c>
      <c r="E81" s="10">
        <v>17.879999999999999</v>
      </c>
      <c r="F81">
        <v>381</v>
      </c>
      <c r="G81" s="9">
        <v>0.54430000000000001</v>
      </c>
      <c r="H81" s="10">
        <v>21.640000000000001</v>
      </c>
    </row>
    <row r="82" hidden="1">
      <c r="A82">
        <v>8</v>
      </c>
      <c r="B82">
        <v>0</v>
      </c>
      <c r="C82">
        <v>236</v>
      </c>
      <c r="D82" s="9">
        <v>0.33710000000000001</v>
      </c>
      <c r="E82" s="10">
        <v>17.09</v>
      </c>
      <c r="F82">
        <v>395</v>
      </c>
      <c r="G82" s="9">
        <v>0.56430000000000002</v>
      </c>
      <c r="H82" s="10">
        <v>20.57</v>
      </c>
    </row>
    <row r="83" hidden="1">
      <c r="A83">
        <v>8</v>
      </c>
      <c r="B83">
        <v>1</v>
      </c>
      <c r="C83">
        <v>262</v>
      </c>
      <c r="D83" s="9">
        <v>0.37430000000000002</v>
      </c>
      <c r="E83" s="10">
        <v>17.75</v>
      </c>
      <c r="F83">
        <v>405</v>
      </c>
      <c r="G83" s="9">
        <v>0.5786</v>
      </c>
      <c r="H83" s="10">
        <v>21.07</v>
      </c>
    </row>
    <row r="84" hidden="1">
      <c r="A84">
        <v>8</v>
      </c>
      <c r="B84">
        <v>2</v>
      </c>
      <c r="C84">
        <v>207</v>
      </c>
      <c r="D84" s="9">
        <v>0.29570000000000002</v>
      </c>
      <c r="E84" s="11">
        <v>17</v>
      </c>
      <c r="F84">
        <v>402</v>
      </c>
      <c r="G84" s="9">
        <v>0.57430000000000003</v>
      </c>
      <c r="H84" s="10">
        <v>21.170000000000002</v>
      </c>
    </row>
    <row r="85" hidden="1">
      <c r="A85">
        <v>8</v>
      </c>
      <c r="B85">
        <v>3</v>
      </c>
      <c r="C85">
        <v>197</v>
      </c>
      <c r="D85" s="9">
        <v>0.28139999999999998</v>
      </c>
      <c r="E85" s="10">
        <v>15.539999999999999</v>
      </c>
      <c r="F85">
        <v>389</v>
      </c>
      <c r="G85" s="9">
        <v>0.55569999999999997</v>
      </c>
      <c r="H85" s="11">
        <v>20.899999999999999</v>
      </c>
    </row>
    <row r="86" hidden="1">
      <c r="A86">
        <v>8</v>
      </c>
      <c r="B86">
        <v>4</v>
      </c>
      <c r="C86">
        <v>247</v>
      </c>
      <c r="D86" s="9">
        <v>0.35289999999999999</v>
      </c>
      <c r="E86" s="10">
        <v>17.219999999999999</v>
      </c>
      <c r="F86">
        <v>396</v>
      </c>
      <c r="G86" s="9">
        <v>0.56569999999999998</v>
      </c>
      <c r="H86" s="11">
        <v>20.800000000000001</v>
      </c>
    </row>
    <row r="87" hidden="1">
      <c r="A87">
        <v>8</v>
      </c>
      <c r="B87">
        <v>5</v>
      </c>
      <c r="C87">
        <v>232</v>
      </c>
      <c r="D87" s="9">
        <v>0.33139999999999997</v>
      </c>
      <c r="E87" s="10">
        <v>17.530000000000001</v>
      </c>
      <c r="F87">
        <v>383</v>
      </c>
      <c r="G87" s="9">
        <v>0.54710000000000003</v>
      </c>
      <c r="H87" s="10">
        <v>20.620000000000001</v>
      </c>
    </row>
    <row r="88" hidden="1">
      <c r="A88">
        <v>8</v>
      </c>
      <c r="B88">
        <v>6</v>
      </c>
      <c r="C88">
        <v>233</v>
      </c>
      <c r="D88" s="9">
        <v>0.33289999999999997</v>
      </c>
      <c r="E88" s="10">
        <v>16.370000000000001</v>
      </c>
      <c r="F88">
        <v>351</v>
      </c>
      <c r="G88" s="9">
        <v>0.50139999999999996</v>
      </c>
      <c r="H88" s="11">
        <v>20</v>
      </c>
    </row>
    <row r="89" hidden="1">
      <c r="A89">
        <v>8</v>
      </c>
      <c r="B89">
        <v>7</v>
      </c>
      <c r="C89">
        <v>200</v>
      </c>
      <c r="D89" s="9">
        <v>0.28570000000000001</v>
      </c>
      <c r="E89" s="11">
        <v>15.699999999999999</v>
      </c>
      <c r="F89">
        <v>386</v>
      </c>
      <c r="G89" s="9">
        <v>0.5514</v>
      </c>
      <c r="H89" s="10">
        <v>20.309999999999999</v>
      </c>
    </row>
    <row r="90" hidden="1">
      <c r="A90">
        <v>8</v>
      </c>
      <c r="B90">
        <v>8</v>
      </c>
      <c r="C90">
        <v>260</v>
      </c>
      <c r="D90" s="9">
        <v>0.37140000000000001</v>
      </c>
      <c r="E90" s="10">
        <v>18.050000000000001</v>
      </c>
      <c r="F90">
        <v>375</v>
      </c>
      <c r="G90" s="9">
        <v>0.53569999999999995</v>
      </c>
      <c r="H90" s="10">
        <v>20.530000000000001</v>
      </c>
    </row>
    <row r="91" hidden="1">
      <c r="A91">
        <v>8</v>
      </c>
      <c r="B91">
        <v>9</v>
      </c>
      <c r="C91">
        <v>215</v>
      </c>
      <c r="D91" s="9">
        <v>0.30709999999999998</v>
      </c>
      <c r="E91" s="10">
        <v>16.23</v>
      </c>
      <c r="F91">
        <v>369</v>
      </c>
      <c r="G91" s="9">
        <v>0.52710000000000001</v>
      </c>
      <c r="H91" s="10">
        <v>20.539999999999999</v>
      </c>
    </row>
    <row r="92" hidden="1">
      <c r="A92">
        <v>9</v>
      </c>
      <c r="B92">
        <v>0</v>
      </c>
      <c r="C92">
        <v>221</v>
      </c>
      <c r="D92" s="9">
        <v>0.31569999999999998</v>
      </c>
      <c r="E92" s="10">
        <v>16.98</v>
      </c>
      <c r="F92">
        <v>366</v>
      </c>
      <c r="G92" s="9">
        <v>0.52290000000000003</v>
      </c>
      <c r="H92" s="10">
        <v>19.969999999999999</v>
      </c>
    </row>
    <row r="93" hidden="1">
      <c r="A93">
        <v>9</v>
      </c>
      <c r="B93">
        <v>1</v>
      </c>
      <c r="C93">
        <v>177</v>
      </c>
      <c r="D93" s="9">
        <v>0.25290000000000001</v>
      </c>
      <c r="E93" s="10">
        <v>15.57</v>
      </c>
      <c r="F93">
        <v>375</v>
      </c>
      <c r="G93" s="9">
        <v>0.53569999999999995</v>
      </c>
      <c r="H93" s="10">
        <v>20.920000000000002</v>
      </c>
    </row>
    <row r="94" hidden="1">
      <c r="A94">
        <v>9</v>
      </c>
      <c r="B94">
        <v>2</v>
      </c>
      <c r="C94">
        <v>139</v>
      </c>
      <c r="D94" s="9">
        <v>0.1986</v>
      </c>
      <c r="E94" s="10">
        <v>14.58</v>
      </c>
      <c r="F94">
        <v>361</v>
      </c>
      <c r="G94" s="9">
        <v>0.51570000000000005</v>
      </c>
      <c r="H94" s="10">
        <v>20.32</v>
      </c>
    </row>
    <row r="95" hidden="1">
      <c r="A95">
        <v>9</v>
      </c>
      <c r="B95">
        <v>3</v>
      </c>
      <c r="C95">
        <v>256</v>
      </c>
      <c r="D95" s="9">
        <v>0.36570000000000003</v>
      </c>
      <c r="E95" s="10">
        <v>17.859999999999999</v>
      </c>
      <c r="F95">
        <v>374</v>
      </c>
      <c r="G95" s="9">
        <v>0.5343</v>
      </c>
      <c r="H95" s="10">
        <v>20.989999999999998</v>
      </c>
    </row>
    <row r="96" hidden="1">
      <c r="A96">
        <v>9</v>
      </c>
      <c r="B96">
        <v>4</v>
      </c>
      <c r="C96">
        <v>248</v>
      </c>
      <c r="D96" s="9">
        <v>0.3543</v>
      </c>
      <c r="E96" s="10">
        <v>17.109999999999999</v>
      </c>
      <c r="F96">
        <v>355</v>
      </c>
      <c r="G96" s="9">
        <v>0.5071</v>
      </c>
      <c r="H96" s="10">
        <v>20.41</v>
      </c>
    </row>
    <row r="97" hidden="1">
      <c r="A97">
        <v>9</v>
      </c>
      <c r="B97">
        <v>5</v>
      </c>
      <c r="C97">
        <v>202</v>
      </c>
      <c r="D97" s="9">
        <v>0.28860000000000002</v>
      </c>
      <c r="E97" s="11">
        <v>16.5</v>
      </c>
      <c r="F97">
        <v>361</v>
      </c>
      <c r="G97" s="9">
        <v>0.51570000000000005</v>
      </c>
      <c r="H97" s="11">
        <v>20.300000000000001</v>
      </c>
    </row>
    <row r="98" hidden="1">
      <c r="A98">
        <v>9</v>
      </c>
      <c r="B98">
        <v>6</v>
      </c>
      <c r="C98">
        <v>247</v>
      </c>
      <c r="D98" s="9">
        <v>0.35289999999999999</v>
      </c>
      <c r="E98" s="10">
        <v>17.640000000000001</v>
      </c>
      <c r="F98">
        <v>396</v>
      </c>
      <c r="G98" s="9">
        <v>0.56569999999999998</v>
      </c>
      <c r="H98" s="10">
        <v>20.989999999999998</v>
      </c>
    </row>
    <row r="99" hidden="1">
      <c r="A99">
        <v>9</v>
      </c>
      <c r="B99">
        <v>7</v>
      </c>
      <c r="C99">
        <v>170</v>
      </c>
      <c r="D99" s="9">
        <v>0.2429</v>
      </c>
      <c r="E99" s="10">
        <v>14.98</v>
      </c>
      <c r="F99">
        <v>379</v>
      </c>
      <c r="G99" s="9">
        <v>0.54139999999999999</v>
      </c>
      <c r="H99" s="10">
        <v>19.620000000000001</v>
      </c>
    </row>
    <row r="100" hidden="1">
      <c r="A100">
        <v>9</v>
      </c>
      <c r="B100">
        <v>8</v>
      </c>
      <c r="C100">
        <v>211</v>
      </c>
      <c r="D100" s="9">
        <v>0.3014</v>
      </c>
      <c r="E100" s="10">
        <v>17.289999999999999</v>
      </c>
      <c r="F100">
        <v>356</v>
      </c>
      <c r="G100" s="9">
        <v>0.50860000000000005</v>
      </c>
      <c r="H100" s="10">
        <v>20.52</v>
      </c>
    </row>
    <row r="101" hidden="1">
      <c r="A101">
        <v>9</v>
      </c>
      <c r="B101">
        <v>9</v>
      </c>
      <c r="C101">
        <v>223</v>
      </c>
      <c r="D101" s="9">
        <v>0.31859999999999999</v>
      </c>
      <c r="E101" s="10">
        <v>17.25</v>
      </c>
      <c r="F101">
        <v>374</v>
      </c>
      <c r="G101" s="9">
        <v>0.5343</v>
      </c>
      <c r="H101" s="10">
        <v>20.809999999999999</v>
      </c>
    </row>
    <row r="102" hidden="1">
      <c r="A102">
        <v>10</v>
      </c>
      <c r="B102">
        <v>0</v>
      </c>
      <c r="C102">
        <v>207</v>
      </c>
      <c r="D102" s="9">
        <v>0.29570000000000002</v>
      </c>
      <c r="E102" s="10">
        <v>16.850000000000001</v>
      </c>
      <c r="F102">
        <v>351</v>
      </c>
      <c r="G102" s="9">
        <v>0.50139999999999996</v>
      </c>
      <c r="H102" s="10">
        <v>20.579999999999998</v>
      </c>
    </row>
    <row r="103" hidden="1">
      <c r="A103">
        <v>10</v>
      </c>
      <c r="B103">
        <v>1</v>
      </c>
      <c r="C103">
        <v>229</v>
      </c>
      <c r="D103" s="9">
        <v>0.3271</v>
      </c>
      <c r="E103" s="10">
        <v>17.18</v>
      </c>
      <c r="F103">
        <v>387</v>
      </c>
      <c r="G103" s="9">
        <v>0.55289999999999995</v>
      </c>
      <c r="H103" s="10">
        <v>20.77</v>
      </c>
    </row>
    <row r="104" hidden="1">
      <c r="A104">
        <v>10</v>
      </c>
      <c r="B104">
        <v>2</v>
      </c>
      <c r="C104">
        <v>151</v>
      </c>
      <c r="D104" s="9">
        <v>0.2157</v>
      </c>
      <c r="E104" s="10">
        <v>13.869999999999999</v>
      </c>
      <c r="F104">
        <v>304</v>
      </c>
      <c r="G104" s="9">
        <v>0.43430000000000002</v>
      </c>
      <c r="H104" s="10">
        <v>17.649999999999999</v>
      </c>
    </row>
    <row r="105" hidden="1">
      <c r="A105">
        <v>10</v>
      </c>
      <c r="B105">
        <v>3</v>
      </c>
      <c r="C105">
        <v>160</v>
      </c>
      <c r="D105" s="9">
        <v>0.2286</v>
      </c>
      <c r="E105" s="10">
        <v>14.640000000000001</v>
      </c>
      <c r="F105">
        <v>334</v>
      </c>
      <c r="G105" s="9">
        <v>0.47710000000000002</v>
      </c>
      <c r="H105" s="10">
        <v>19.280000000000001</v>
      </c>
    </row>
    <row r="106" hidden="1">
      <c r="A106">
        <v>10</v>
      </c>
      <c r="B106">
        <v>4</v>
      </c>
      <c r="C106">
        <v>138</v>
      </c>
      <c r="D106" s="9">
        <v>0.1971</v>
      </c>
      <c r="E106" s="10">
        <v>14.710000000000001</v>
      </c>
      <c r="F106">
        <v>345</v>
      </c>
      <c r="G106" s="9">
        <v>0.4929</v>
      </c>
      <c r="H106" s="10">
        <v>19.760000000000002</v>
      </c>
    </row>
    <row r="107" hidden="1">
      <c r="A107">
        <v>10</v>
      </c>
      <c r="B107">
        <v>5</v>
      </c>
      <c r="C107">
        <v>229</v>
      </c>
      <c r="D107" s="9">
        <v>0.3271</v>
      </c>
      <c r="E107" s="10">
        <v>16.940000000000001</v>
      </c>
      <c r="F107">
        <v>330</v>
      </c>
      <c r="G107" s="9">
        <v>0.47139999999999999</v>
      </c>
      <c r="H107" s="10">
        <v>19.59</v>
      </c>
    </row>
    <row r="108" hidden="1">
      <c r="A108">
        <v>10</v>
      </c>
      <c r="B108">
        <v>6</v>
      </c>
      <c r="C108">
        <v>227</v>
      </c>
      <c r="D108" s="9">
        <v>0.32429999999999998</v>
      </c>
      <c r="E108" s="11">
        <v>17.300000000000001</v>
      </c>
      <c r="F108">
        <v>365</v>
      </c>
      <c r="G108" s="9">
        <v>0.52139999999999997</v>
      </c>
      <c r="H108" s="10">
        <v>20.739999999999998</v>
      </c>
    </row>
    <row r="109" hidden="1">
      <c r="A109">
        <v>10</v>
      </c>
      <c r="B109">
        <v>7</v>
      </c>
      <c r="C109">
        <v>215</v>
      </c>
      <c r="D109" s="9">
        <v>0.30709999999999998</v>
      </c>
      <c r="E109" s="10">
        <v>17.489999999999998</v>
      </c>
      <c r="F109">
        <v>342</v>
      </c>
      <c r="G109" s="9">
        <v>0.48859999999999998</v>
      </c>
      <c r="H109" s="10">
        <v>20.23</v>
      </c>
    </row>
    <row r="110" hidden="1">
      <c r="A110">
        <v>10</v>
      </c>
      <c r="B110">
        <v>8</v>
      </c>
      <c r="C110">
        <v>188</v>
      </c>
      <c r="D110" s="9">
        <v>0.26860000000000001</v>
      </c>
      <c r="E110" s="10">
        <v>16.75</v>
      </c>
      <c r="F110">
        <v>291</v>
      </c>
      <c r="G110" s="9">
        <v>0.41570000000000001</v>
      </c>
      <c r="H110" s="10">
        <v>18.93</v>
      </c>
    </row>
    <row r="111" hidden="1">
      <c r="A111">
        <v>10</v>
      </c>
      <c r="B111">
        <v>9</v>
      </c>
      <c r="C111">
        <v>241</v>
      </c>
      <c r="D111" s="9">
        <v>0.34429999999999999</v>
      </c>
      <c r="E111" s="10">
        <v>17.309999999999999</v>
      </c>
      <c r="F111">
        <v>375</v>
      </c>
      <c r="G111" s="9">
        <v>0.53569999999999995</v>
      </c>
      <c r="H111" s="10">
        <v>20.350000000000001</v>
      </c>
    </row>
    <row r="112" hidden="1">
      <c r="A112">
        <v>11</v>
      </c>
      <c r="B112">
        <v>0</v>
      </c>
      <c r="C112">
        <v>242</v>
      </c>
      <c r="D112" s="9">
        <v>0.34570000000000001</v>
      </c>
      <c r="E112" s="10">
        <v>18.25</v>
      </c>
      <c r="F112">
        <v>371</v>
      </c>
      <c r="G112" s="9">
        <v>0.53000000000000003</v>
      </c>
      <c r="H112" s="10">
        <v>20.449999999999999</v>
      </c>
    </row>
    <row r="113" hidden="1">
      <c r="A113">
        <v>11</v>
      </c>
      <c r="B113">
        <v>1</v>
      </c>
      <c r="C113">
        <v>212</v>
      </c>
      <c r="D113" s="9">
        <v>0.3029</v>
      </c>
      <c r="E113" s="10">
        <v>17.32</v>
      </c>
      <c r="F113">
        <v>359</v>
      </c>
      <c r="G113" s="9">
        <v>0.51290000000000002</v>
      </c>
      <c r="H113" s="10">
        <v>20.789999999999999</v>
      </c>
    </row>
    <row r="114" hidden="1">
      <c r="A114">
        <v>11</v>
      </c>
      <c r="B114">
        <v>2</v>
      </c>
      <c r="C114">
        <v>219</v>
      </c>
      <c r="D114" s="9">
        <v>0.31290000000000001</v>
      </c>
      <c r="E114" s="10">
        <v>17.010000000000002</v>
      </c>
      <c r="F114">
        <v>403</v>
      </c>
      <c r="G114" s="9">
        <v>0.57569999999999999</v>
      </c>
      <c r="H114" s="10">
        <v>20.98</v>
      </c>
    </row>
    <row r="115" hidden="1">
      <c r="A115">
        <v>11</v>
      </c>
      <c r="B115">
        <v>3</v>
      </c>
      <c r="C115">
        <v>239</v>
      </c>
      <c r="D115" s="9">
        <v>0.34139999999999998</v>
      </c>
      <c r="E115" s="10">
        <v>17.059999999999999</v>
      </c>
      <c r="F115">
        <v>383</v>
      </c>
      <c r="G115" s="9">
        <v>0.54710000000000003</v>
      </c>
      <c r="H115" s="10">
        <v>20.260000000000002</v>
      </c>
    </row>
    <row r="116" hidden="1">
      <c r="A116">
        <v>11</v>
      </c>
      <c r="B116">
        <v>4</v>
      </c>
      <c r="C116">
        <v>182</v>
      </c>
      <c r="D116" s="9">
        <v>0.26000000000000001</v>
      </c>
      <c r="E116" s="10">
        <v>15.539999999999999</v>
      </c>
      <c r="F116">
        <v>332</v>
      </c>
      <c r="G116" s="9">
        <v>0.4743</v>
      </c>
      <c r="H116" s="11">
        <v>18.899999999999999</v>
      </c>
    </row>
    <row r="117" hidden="1">
      <c r="A117">
        <v>11</v>
      </c>
      <c r="B117">
        <v>5</v>
      </c>
      <c r="C117">
        <v>201</v>
      </c>
      <c r="D117" s="9">
        <v>0.28710000000000002</v>
      </c>
      <c r="E117" s="10">
        <v>16.829999999999998</v>
      </c>
      <c r="F117">
        <v>360</v>
      </c>
      <c r="G117" s="9">
        <v>0.51429999999999998</v>
      </c>
      <c r="H117" s="10">
        <v>20.789999999999999</v>
      </c>
    </row>
    <row r="118" hidden="1">
      <c r="A118">
        <v>11</v>
      </c>
      <c r="B118">
        <v>6</v>
      </c>
      <c r="C118">
        <v>177</v>
      </c>
      <c r="D118" s="9">
        <v>0.25290000000000001</v>
      </c>
      <c r="E118" s="11">
        <v>15.4</v>
      </c>
      <c r="F118">
        <v>374</v>
      </c>
      <c r="G118" s="9">
        <v>0.5343</v>
      </c>
      <c r="H118" s="11">
        <v>20.300000000000001</v>
      </c>
    </row>
    <row r="119" hidden="1">
      <c r="A119">
        <v>11</v>
      </c>
      <c r="B119">
        <v>7</v>
      </c>
      <c r="C119">
        <v>169</v>
      </c>
      <c r="D119" s="9">
        <v>0.2414</v>
      </c>
      <c r="E119" s="10">
        <v>14.970000000000001</v>
      </c>
      <c r="F119">
        <v>382</v>
      </c>
      <c r="G119" s="9">
        <v>0.54569999999999996</v>
      </c>
      <c r="H119" s="10">
        <v>20.43</v>
      </c>
    </row>
    <row r="120" hidden="1">
      <c r="A120">
        <v>11</v>
      </c>
      <c r="B120">
        <v>8</v>
      </c>
      <c r="C120">
        <v>214</v>
      </c>
      <c r="D120" s="9">
        <v>0.30570000000000003</v>
      </c>
      <c r="E120" s="10">
        <v>16.43</v>
      </c>
      <c r="F120">
        <v>330</v>
      </c>
      <c r="G120" s="9">
        <v>0.47139999999999999</v>
      </c>
      <c r="H120" s="11">
        <v>19.399999999999999</v>
      </c>
    </row>
    <row r="121" hidden="1">
      <c r="A121">
        <v>11</v>
      </c>
      <c r="B121">
        <v>9</v>
      </c>
      <c r="C121">
        <v>252</v>
      </c>
      <c r="D121" s="9">
        <v>0.35999999999999999</v>
      </c>
      <c r="E121" s="10">
        <v>17.52</v>
      </c>
      <c r="F121">
        <v>398</v>
      </c>
      <c r="G121" s="9">
        <v>0.56859999999999999</v>
      </c>
      <c r="H121" s="10">
        <v>21.120000000000001</v>
      </c>
    </row>
    <row r="122" hidden="1">
      <c r="A122">
        <v>12</v>
      </c>
      <c r="B122">
        <v>0</v>
      </c>
      <c r="C122">
        <v>184</v>
      </c>
      <c r="D122" s="9">
        <v>0.26290000000000002</v>
      </c>
      <c r="E122" s="10">
        <v>15.32</v>
      </c>
      <c r="F122">
        <v>374</v>
      </c>
      <c r="G122" s="9">
        <v>0.5343</v>
      </c>
      <c r="H122" s="10">
        <v>19.940000000000001</v>
      </c>
    </row>
    <row r="123" hidden="1">
      <c r="A123">
        <v>12</v>
      </c>
      <c r="B123">
        <v>1</v>
      </c>
      <c r="C123">
        <v>167</v>
      </c>
      <c r="D123" s="9">
        <v>0.23860000000000001</v>
      </c>
      <c r="E123" s="10">
        <v>15.609999999999999</v>
      </c>
      <c r="F123">
        <v>334</v>
      </c>
      <c r="G123" s="9">
        <v>0.47710000000000002</v>
      </c>
      <c r="H123" s="10">
        <v>19.82</v>
      </c>
    </row>
    <row r="124" hidden="1">
      <c r="A124">
        <v>12</v>
      </c>
      <c r="B124">
        <v>2</v>
      </c>
      <c r="C124">
        <v>185</v>
      </c>
      <c r="D124" s="9">
        <v>0.26429999999999998</v>
      </c>
      <c r="E124" s="10">
        <v>15.81</v>
      </c>
      <c r="F124">
        <v>335</v>
      </c>
      <c r="G124" s="9">
        <v>0.47860000000000003</v>
      </c>
      <c r="H124" s="10">
        <v>19.170000000000002</v>
      </c>
    </row>
    <row r="125" hidden="1">
      <c r="A125">
        <v>12</v>
      </c>
      <c r="B125">
        <v>3</v>
      </c>
      <c r="C125">
        <v>215</v>
      </c>
      <c r="D125" s="9">
        <v>0.30709999999999998</v>
      </c>
      <c r="E125" s="10">
        <v>16.710000000000001</v>
      </c>
      <c r="F125">
        <v>380</v>
      </c>
      <c r="G125" s="9">
        <v>0.54290000000000005</v>
      </c>
      <c r="H125" s="10">
        <v>20.280000000000001</v>
      </c>
    </row>
    <row r="126" hidden="1">
      <c r="A126">
        <v>12</v>
      </c>
      <c r="B126">
        <v>4</v>
      </c>
      <c r="C126">
        <v>197</v>
      </c>
      <c r="D126" s="9">
        <v>0.28139999999999998</v>
      </c>
      <c r="E126" s="10">
        <v>16.870000000000001</v>
      </c>
      <c r="F126">
        <v>339</v>
      </c>
      <c r="G126" s="9">
        <v>0.48430000000000001</v>
      </c>
      <c r="H126" s="10">
        <v>20.25</v>
      </c>
    </row>
    <row r="127" hidden="1">
      <c r="A127">
        <v>12</v>
      </c>
      <c r="B127">
        <v>5</v>
      </c>
      <c r="C127">
        <v>195</v>
      </c>
      <c r="D127" s="9">
        <v>0.27860000000000001</v>
      </c>
      <c r="E127" s="10">
        <v>15.74</v>
      </c>
      <c r="F127">
        <v>328</v>
      </c>
      <c r="G127" s="9">
        <v>0.46860000000000002</v>
      </c>
      <c r="H127" s="10">
        <v>19.469999999999999</v>
      </c>
    </row>
    <row r="128" hidden="1">
      <c r="A128">
        <v>12</v>
      </c>
      <c r="B128">
        <v>6</v>
      </c>
      <c r="C128">
        <v>224</v>
      </c>
      <c r="D128" s="9">
        <v>0.32000000000000001</v>
      </c>
      <c r="E128" s="10">
        <v>17.129999999999999</v>
      </c>
      <c r="F128">
        <v>337</v>
      </c>
      <c r="G128" s="9">
        <v>0.48139999999999999</v>
      </c>
      <c r="H128" s="10">
        <v>19.670000000000002</v>
      </c>
    </row>
    <row r="129" hidden="1">
      <c r="A129">
        <v>12</v>
      </c>
      <c r="B129">
        <v>7</v>
      </c>
      <c r="C129">
        <v>196</v>
      </c>
      <c r="D129" s="9">
        <v>0.28000000000000003</v>
      </c>
      <c r="E129" s="10">
        <v>15.81</v>
      </c>
      <c r="F129">
        <v>364</v>
      </c>
      <c r="G129" s="9">
        <v>0.52000000000000002</v>
      </c>
      <c r="H129" s="10">
        <v>20.23</v>
      </c>
    </row>
    <row r="130" hidden="1">
      <c r="A130">
        <v>12</v>
      </c>
      <c r="B130">
        <v>8</v>
      </c>
      <c r="C130">
        <v>173</v>
      </c>
      <c r="D130" s="9">
        <v>0.24709999999999999</v>
      </c>
      <c r="E130" s="10">
        <v>16.329999999999998</v>
      </c>
      <c r="F130">
        <v>295</v>
      </c>
      <c r="G130" s="9">
        <v>0.4214</v>
      </c>
      <c r="H130" s="10">
        <v>18.780000000000001</v>
      </c>
    </row>
    <row r="131" hidden="1">
      <c r="A131">
        <v>12</v>
      </c>
      <c r="B131">
        <v>9</v>
      </c>
      <c r="C131">
        <v>185</v>
      </c>
      <c r="D131" s="9">
        <v>0.26429999999999998</v>
      </c>
      <c r="E131" s="10">
        <v>15.91</v>
      </c>
      <c r="F131">
        <v>337</v>
      </c>
      <c r="G131" s="9">
        <v>0.48139999999999999</v>
      </c>
      <c r="H131" s="10">
        <v>20.18</v>
      </c>
    </row>
    <row r="132" hidden="1">
      <c r="A132">
        <v>13</v>
      </c>
      <c r="B132">
        <v>0</v>
      </c>
      <c r="C132">
        <v>185</v>
      </c>
      <c r="D132" s="9">
        <v>0.26429999999999998</v>
      </c>
      <c r="E132" s="11">
        <v>15.800000000000001</v>
      </c>
      <c r="F132">
        <v>357</v>
      </c>
      <c r="G132" s="9">
        <v>0.51000000000000001</v>
      </c>
      <c r="H132" s="10">
        <v>19.25</v>
      </c>
    </row>
    <row r="133" hidden="1">
      <c r="A133">
        <v>13</v>
      </c>
      <c r="B133">
        <v>1</v>
      </c>
      <c r="C133">
        <v>179</v>
      </c>
      <c r="D133" s="9">
        <v>0.25569999999999998</v>
      </c>
      <c r="E133" s="10">
        <v>15.449999999999999</v>
      </c>
      <c r="F133">
        <v>334</v>
      </c>
      <c r="G133" s="9">
        <v>0.47710000000000002</v>
      </c>
      <c r="H133" s="10">
        <v>19.579999999999998</v>
      </c>
    </row>
    <row r="134" hidden="1">
      <c r="A134">
        <v>13</v>
      </c>
      <c r="B134">
        <v>2</v>
      </c>
      <c r="C134">
        <v>236</v>
      </c>
      <c r="D134" s="9">
        <v>0.33710000000000001</v>
      </c>
      <c r="E134" s="11">
        <v>17.5</v>
      </c>
      <c r="F134">
        <v>394</v>
      </c>
      <c r="G134" s="9">
        <v>0.56289999999999996</v>
      </c>
      <c r="H134" s="10">
        <v>21.129999999999999</v>
      </c>
    </row>
    <row r="135" hidden="1">
      <c r="A135">
        <v>13</v>
      </c>
      <c r="B135">
        <v>3</v>
      </c>
      <c r="C135">
        <v>167</v>
      </c>
      <c r="D135" s="9">
        <v>0.23860000000000001</v>
      </c>
      <c r="E135" s="10">
        <v>15.949999999999999</v>
      </c>
      <c r="F135">
        <v>361</v>
      </c>
      <c r="G135" s="9">
        <v>0.51570000000000005</v>
      </c>
      <c r="H135" s="10">
        <v>20.190000000000001</v>
      </c>
    </row>
    <row r="136" hidden="1">
      <c r="A136">
        <v>13</v>
      </c>
      <c r="B136">
        <v>4</v>
      </c>
      <c r="C136">
        <v>189</v>
      </c>
      <c r="D136" s="9">
        <v>0.27000000000000002</v>
      </c>
      <c r="E136" s="10">
        <v>15.93</v>
      </c>
      <c r="F136">
        <v>338</v>
      </c>
      <c r="G136" s="9">
        <v>0.4829</v>
      </c>
      <c r="H136" s="10">
        <v>19.640000000000001</v>
      </c>
    </row>
    <row r="137" hidden="1">
      <c r="A137">
        <v>13</v>
      </c>
      <c r="B137">
        <v>5</v>
      </c>
      <c r="C137">
        <v>215</v>
      </c>
      <c r="D137" s="9">
        <v>0.30709999999999998</v>
      </c>
      <c r="E137" s="10">
        <v>16.73</v>
      </c>
      <c r="F137">
        <v>358</v>
      </c>
      <c r="G137" s="9">
        <v>0.51139999999999997</v>
      </c>
      <c r="H137" s="10">
        <v>20.510000000000002</v>
      </c>
    </row>
    <row r="138" hidden="1">
      <c r="A138">
        <v>13</v>
      </c>
      <c r="B138">
        <v>6</v>
      </c>
      <c r="C138">
        <v>158</v>
      </c>
      <c r="D138" s="9">
        <v>0.22570000000000001</v>
      </c>
      <c r="E138" s="11">
        <v>14.300000000000001</v>
      </c>
      <c r="F138">
        <v>315</v>
      </c>
      <c r="G138" s="9">
        <v>0.45000000000000001</v>
      </c>
      <c r="H138" s="10">
        <v>18.050000000000001</v>
      </c>
    </row>
    <row r="139" hidden="1">
      <c r="A139">
        <v>13</v>
      </c>
      <c r="B139">
        <v>7</v>
      </c>
      <c r="C139">
        <v>197</v>
      </c>
      <c r="D139" s="9">
        <v>0.28139999999999998</v>
      </c>
      <c r="E139" s="10">
        <v>17.010000000000002</v>
      </c>
      <c r="F139">
        <v>344</v>
      </c>
      <c r="G139" s="9">
        <v>0.4914</v>
      </c>
      <c r="H139" s="10">
        <v>20.43</v>
      </c>
    </row>
    <row r="140" hidden="1">
      <c r="A140">
        <v>13</v>
      </c>
      <c r="B140">
        <v>8</v>
      </c>
      <c r="C140">
        <v>227</v>
      </c>
      <c r="D140" s="9">
        <v>0.32429999999999998</v>
      </c>
      <c r="E140" s="10">
        <v>16.949999999999999</v>
      </c>
      <c r="F140">
        <v>402</v>
      </c>
      <c r="G140" s="9">
        <v>0.57430000000000003</v>
      </c>
      <c r="H140" s="10">
        <v>21.050000000000001</v>
      </c>
    </row>
    <row r="141" hidden="1">
      <c r="A141">
        <v>13</v>
      </c>
      <c r="B141">
        <v>9</v>
      </c>
      <c r="C141">
        <v>217</v>
      </c>
      <c r="D141" s="9">
        <v>0.31</v>
      </c>
      <c r="E141" s="10">
        <v>17.82</v>
      </c>
      <c r="F141">
        <v>382</v>
      </c>
      <c r="G141" s="9">
        <v>0.54569999999999996</v>
      </c>
      <c r="H141" s="10">
        <v>21.640000000000001</v>
      </c>
    </row>
    <row r="142" hidden="1">
      <c r="A142">
        <v>14</v>
      </c>
      <c r="B142">
        <v>0</v>
      </c>
      <c r="C142">
        <v>218</v>
      </c>
      <c r="D142" s="9">
        <v>0.31140000000000001</v>
      </c>
      <c r="E142" s="10">
        <v>16.68</v>
      </c>
      <c r="F142">
        <v>350</v>
      </c>
      <c r="G142" s="9">
        <v>0.5</v>
      </c>
      <c r="H142" s="10">
        <v>20.18</v>
      </c>
    </row>
    <row r="143" hidden="1">
      <c r="A143">
        <v>14</v>
      </c>
      <c r="B143">
        <v>1</v>
      </c>
      <c r="C143">
        <v>212</v>
      </c>
      <c r="D143" s="9">
        <v>0.3029</v>
      </c>
      <c r="E143" s="10">
        <v>16.670000000000002</v>
      </c>
      <c r="F143">
        <v>346</v>
      </c>
      <c r="G143" s="9">
        <v>0.49430000000000002</v>
      </c>
      <c r="H143" s="10">
        <v>19.780000000000001</v>
      </c>
    </row>
    <row r="144" hidden="1">
      <c r="A144">
        <v>14</v>
      </c>
      <c r="B144">
        <v>2</v>
      </c>
      <c r="C144">
        <v>169</v>
      </c>
      <c r="D144" s="9">
        <v>0.2414</v>
      </c>
      <c r="E144" s="10">
        <v>15.94</v>
      </c>
      <c r="F144">
        <v>310</v>
      </c>
      <c r="G144" s="9">
        <v>0.44290000000000002</v>
      </c>
      <c r="H144" s="10">
        <v>19.140000000000001</v>
      </c>
    </row>
    <row r="145" hidden="1">
      <c r="A145">
        <v>14</v>
      </c>
      <c r="B145">
        <v>3</v>
      </c>
      <c r="C145">
        <v>233</v>
      </c>
      <c r="D145" s="9">
        <v>0.33289999999999997</v>
      </c>
      <c r="E145" s="10">
        <v>17.129999999999999</v>
      </c>
      <c r="F145">
        <v>399</v>
      </c>
      <c r="G145" s="9">
        <v>0.56999999999999995</v>
      </c>
      <c r="H145" s="10">
        <v>21.390000000000001</v>
      </c>
    </row>
    <row r="146" hidden="1">
      <c r="A146">
        <v>14</v>
      </c>
      <c r="B146">
        <v>4</v>
      </c>
      <c r="C146">
        <v>197</v>
      </c>
      <c r="D146" s="9">
        <v>0.28139999999999998</v>
      </c>
      <c r="E146" s="10">
        <v>16.460000000000001</v>
      </c>
      <c r="F146">
        <v>361</v>
      </c>
      <c r="G146" s="9">
        <v>0.51570000000000005</v>
      </c>
      <c r="H146" s="10">
        <v>19.960000000000001</v>
      </c>
    </row>
    <row r="147" hidden="1">
      <c r="A147">
        <v>14</v>
      </c>
      <c r="B147">
        <v>5</v>
      </c>
      <c r="C147">
        <v>208</v>
      </c>
      <c r="D147" s="9">
        <v>0.29709999999999998</v>
      </c>
      <c r="E147" s="10">
        <v>16.91</v>
      </c>
      <c r="F147">
        <v>337</v>
      </c>
      <c r="G147" s="9">
        <v>0.48139999999999999</v>
      </c>
      <c r="H147" s="11">
        <v>20.199999999999999</v>
      </c>
    </row>
    <row r="148" hidden="1">
      <c r="A148">
        <v>14</v>
      </c>
      <c r="B148">
        <v>6</v>
      </c>
      <c r="C148">
        <v>176</v>
      </c>
      <c r="D148" s="9">
        <v>0.25140000000000001</v>
      </c>
      <c r="E148" s="10">
        <v>15.75</v>
      </c>
      <c r="F148">
        <v>307</v>
      </c>
      <c r="G148" s="9">
        <v>0.43859999999999999</v>
      </c>
      <c r="H148" s="10">
        <v>19.039999999999999</v>
      </c>
    </row>
    <row r="149" hidden="1">
      <c r="A149">
        <v>14</v>
      </c>
      <c r="B149">
        <v>7</v>
      </c>
      <c r="C149">
        <v>212</v>
      </c>
      <c r="D149" s="9">
        <v>0.3029</v>
      </c>
      <c r="E149" s="10">
        <v>17.109999999999999</v>
      </c>
      <c r="F149">
        <v>356</v>
      </c>
      <c r="G149" s="9">
        <v>0.50860000000000005</v>
      </c>
      <c r="H149" s="10">
        <v>20.25</v>
      </c>
    </row>
    <row r="150" hidden="1">
      <c r="A150">
        <v>14</v>
      </c>
      <c r="B150">
        <v>8</v>
      </c>
      <c r="C150">
        <v>183</v>
      </c>
      <c r="D150" s="9">
        <v>0.26140000000000002</v>
      </c>
      <c r="E150" s="10">
        <v>15.65</v>
      </c>
      <c r="F150">
        <v>380</v>
      </c>
      <c r="G150" s="9">
        <v>0.54290000000000005</v>
      </c>
      <c r="H150" s="10">
        <v>20.449999999999999</v>
      </c>
    </row>
    <row r="151" hidden="1">
      <c r="A151">
        <v>14</v>
      </c>
      <c r="B151">
        <v>9</v>
      </c>
      <c r="C151">
        <v>239</v>
      </c>
      <c r="D151" s="9">
        <v>0.34139999999999998</v>
      </c>
      <c r="E151" s="10">
        <v>17.719999999999999</v>
      </c>
      <c r="F151">
        <v>388</v>
      </c>
      <c r="G151" s="9">
        <v>0.55430000000000001</v>
      </c>
      <c r="H151" s="10">
        <v>20.870000000000001</v>
      </c>
    </row>
    <row r="152" hidden="1">
      <c r="A152">
        <v>15</v>
      </c>
      <c r="B152">
        <v>0</v>
      </c>
      <c r="C152">
        <v>189</v>
      </c>
      <c r="D152" s="9">
        <v>0.27000000000000002</v>
      </c>
      <c r="E152" s="11">
        <v>15.9</v>
      </c>
      <c r="F152">
        <v>352</v>
      </c>
      <c r="G152" s="9">
        <v>0.50290000000000001</v>
      </c>
      <c r="H152" s="10">
        <v>20.370000000000001</v>
      </c>
    </row>
    <row r="153" hidden="1">
      <c r="A153">
        <v>15</v>
      </c>
      <c r="B153">
        <v>1</v>
      </c>
      <c r="C153">
        <v>149</v>
      </c>
      <c r="D153" s="9">
        <v>0.21290000000000001</v>
      </c>
      <c r="E153" s="10">
        <v>14.390000000000001</v>
      </c>
      <c r="F153">
        <v>315</v>
      </c>
      <c r="G153" s="9">
        <v>0.45000000000000001</v>
      </c>
      <c r="H153" s="10">
        <v>19.079999999999998</v>
      </c>
    </row>
    <row r="154" hidden="1">
      <c r="A154">
        <v>15</v>
      </c>
      <c r="B154">
        <v>2</v>
      </c>
      <c r="C154">
        <v>222</v>
      </c>
      <c r="D154" s="9">
        <v>0.31709999999999999</v>
      </c>
      <c r="E154" s="10">
        <v>16.73</v>
      </c>
      <c r="F154">
        <v>381</v>
      </c>
      <c r="G154" s="9">
        <v>0.54430000000000001</v>
      </c>
      <c r="H154" s="10">
        <v>20.329999999999998</v>
      </c>
    </row>
    <row r="155" hidden="1">
      <c r="A155">
        <v>15</v>
      </c>
      <c r="B155">
        <v>3</v>
      </c>
      <c r="C155">
        <v>144</v>
      </c>
      <c r="D155" s="9">
        <v>0.20569999999999999</v>
      </c>
      <c r="E155" s="10">
        <v>14.19</v>
      </c>
      <c r="F155">
        <v>330</v>
      </c>
      <c r="G155" s="9">
        <v>0.47139999999999999</v>
      </c>
      <c r="H155" s="10">
        <v>18.690000000000001</v>
      </c>
    </row>
    <row r="156" hidden="1">
      <c r="A156">
        <v>15</v>
      </c>
      <c r="B156">
        <v>4</v>
      </c>
      <c r="C156">
        <v>138</v>
      </c>
      <c r="D156" s="9">
        <v>0.1971</v>
      </c>
      <c r="E156" s="10">
        <v>13.789999999999999</v>
      </c>
      <c r="F156">
        <v>305</v>
      </c>
      <c r="G156" s="9">
        <v>0.43569999999999998</v>
      </c>
      <c r="H156" s="10">
        <v>18.760000000000002</v>
      </c>
    </row>
    <row r="157" hidden="1">
      <c r="A157">
        <v>15</v>
      </c>
      <c r="B157">
        <v>5</v>
      </c>
      <c r="C157">
        <v>185</v>
      </c>
      <c r="D157" s="9">
        <v>0.26429999999999998</v>
      </c>
      <c r="E157" s="10">
        <v>15.58</v>
      </c>
      <c r="F157">
        <v>343</v>
      </c>
      <c r="G157" s="9">
        <v>0.48999999999999999</v>
      </c>
      <c r="H157" s="10">
        <v>20.219999999999999</v>
      </c>
    </row>
    <row r="158" hidden="1">
      <c r="A158">
        <v>15</v>
      </c>
      <c r="B158">
        <v>6</v>
      </c>
      <c r="C158">
        <v>225</v>
      </c>
      <c r="D158" s="9">
        <v>0.32140000000000002</v>
      </c>
      <c r="E158" s="10">
        <v>17.09</v>
      </c>
      <c r="F158">
        <v>368</v>
      </c>
      <c r="G158" s="9">
        <v>0.52569999999999995</v>
      </c>
      <c r="H158" s="10">
        <v>20.07</v>
      </c>
    </row>
    <row r="159" hidden="1">
      <c r="A159">
        <v>15</v>
      </c>
      <c r="B159">
        <v>7</v>
      </c>
      <c r="C159">
        <v>157</v>
      </c>
      <c r="D159" s="9">
        <v>0.2243</v>
      </c>
      <c r="E159" s="11">
        <v>15</v>
      </c>
      <c r="F159">
        <v>259</v>
      </c>
      <c r="G159" s="9">
        <v>0.37</v>
      </c>
      <c r="H159" s="10">
        <v>17.859999999999999</v>
      </c>
    </row>
    <row r="160" hidden="1">
      <c r="A160">
        <v>15</v>
      </c>
      <c r="B160">
        <v>8</v>
      </c>
      <c r="C160">
        <v>207</v>
      </c>
      <c r="D160" s="9">
        <v>0.29570000000000002</v>
      </c>
      <c r="E160" s="10">
        <v>16.420000000000002</v>
      </c>
      <c r="F160">
        <v>359</v>
      </c>
      <c r="G160" s="9">
        <v>0.51290000000000002</v>
      </c>
      <c r="H160" s="10">
        <v>20.18</v>
      </c>
    </row>
    <row r="161" hidden="1">
      <c r="A161">
        <v>15</v>
      </c>
      <c r="B161">
        <v>9</v>
      </c>
      <c r="C161">
        <v>188</v>
      </c>
      <c r="D161" s="9">
        <v>0.26860000000000001</v>
      </c>
      <c r="E161" s="10">
        <v>16.140000000000001</v>
      </c>
      <c r="F161">
        <v>343</v>
      </c>
      <c r="G161" s="9">
        <v>0.48999999999999999</v>
      </c>
      <c r="H161" s="10">
        <v>19.68</v>
      </c>
    </row>
    <row r="162" hidden="1">
      <c r="A162">
        <v>16</v>
      </c>
      <c r="B162">
        <v>0</v>
      </c>
      <c r="C162">
        <v>232</v>
      </c>
      <c r="D162" s="9">
        <v>0.33139999999999997</v>
      </c>
      <c r="E162" s="11">
        <v>16.199999999999999</v>
      </c>
      <c r="F162">
        <v>341</v>
      </c>
      <c r="G162" s="9">
        <v>0.48709999999999998</v>
      </c>
      <c r="H162" s="10">
        <v>19.18</v>
      </c>
    </row>
    <row r="163" hidden="1">
      <c r="A163">
        <v>16</v>
      </c>
      <c r="B163">
        <v>1</v>
      </c>
      <c r="C163">
        <v>231</v>
      </c>
      <c r="D163" s="9">
        <v>0.33000000000000002</v>
      </c>
      <c r="E163" s="10">
        <v>16.82</v>
      </c>
      <c r="F163">
        <v>408</v>
      </c>
      <c r="G163" s="9">
        <v>0.58289999999999997</v>
      </c>
      <c r="H163" s="10">
        <v>20.760000000000002</v>
      </c>
    </row>
    <row r="164" hidden="1">
      <c r="A164">
        <v>16</v>
      </c>
      <c r="B164">
        <v>2</v>
      </c>
      <c r="C164">
        <v>186</v>
      </c>
      <c r="D164" s="9">
        <v>0.26569999999999999</v>
      </c>
      <c r="E164" s="10">
        <v>15.640000000000001</v>
      </c>
      <c r="F164">
        <v>308</v>
      </c>
      <c r="G164" s="9">
        <v>0.44</v>
      </c>
      <c r="H164" s="10">
        <v>18.949999999999999</v>
      </c>
    </row>
    <row r="165" hidden="1">
      <c r="A165">
        <v>16</v>
      </c>
      <c r="B165">
        <v>3</v>
      </c>
      <c r="C165">
        <v>208</v>
      </c>
      <c r="D165" s="9">
        <v>0.29709999999999998</v>
      </c>
      <c r="E165" s="10">
        <v>17.550000000000001</v>
      </c>
      <c r="F165">
        <v>351</v>
      </c>
      <c r="G165" s="9">
        <v>0.50139999999999996</v>
      </c>
      <c r="H165" s="10">
        <v>20.719999999999999</v>
      </c>
    </row>
    <row r="166" hidden="1">
      <c r="A166">
        <v>16</v>
      </c>
      <c r="B166">
        <v>4</v>
      </c>
      <c r="C166">
        <v>190</v>
      </c>
      <c r="D166" s="9">
        <v>0.27139999999999997</v>
      </c>
      <c r="E166" s="10">
        <v>15.81</v>
      </c>
      <c r="F166">
        <v>303</v>
      </c>
      <c r="G166" s="9">
        <v>0.43290000000000001</v>
      </c>
      <c r="H166" s="10">
        <v>18.780000000000001</v>
      </c>
    </row>
    <row r="167" hidden="1">
      <c r="A167">
        <v>16</v>
      </c>
      <c r="B167">
        <v>5</v>
      </c>
      <c r="C167">
        <v>148</v>
      </c>
      <c r="D167" s="9">
        <v>0.2114</v>
      </c>
      <c r="E167" s="10">
        <v>15.390000000000001</v>
      </c>
      <c r="F167">
        <v>337</v>
      </c>
      <c r="G167" s="9">
        <v>0.48139999999999999</v>
      </c>
      <c r="H167" s="10">
        <v>19.989999999999998</v>
      </c>
    </row>
    <row r="168" hidden="1">
      <c r="A168">
        <v>16</v>
      </c>
      <c r="B168">
        <v>6</v>
      </c>
      <c r="C168">
        <v>222</v>
      </c>
      <c r="D168" s="9">
        <v>0.31709999999999999</v>
      </c>
      <c r="E168" s="10">
        <v>17.02</v>
      </c>
      <c r="F168">
        <v>369</v>
      </c>
      <c r="G168" s="9">
        <v>0.52710000000000001</v>
      </c>
      <c r="H168" s="10">
        <v>20.760000000000002</v>
      </c>
    </row>
    <row r="169" hidden="1">
      <c r="A169">
        <v>16</v>
      </c>
      <c r="B169">
        <v>7</v>
      </c>
      <c r="C169">
        <v>207</v>
      </c>
      <c r="D169" s="9">
        <v>0.29570000000000002</v>
      </c>
      <c r="E169" s="10">
        <v>16.390000000000001</v>
      </c>
      <c r="F169">
        <v>385</v>
      </c>
      <c r="G169" s="9">
        <v>0.55000000000000004</v>
      </c>
      <c r="H169" s="10">
        <v>20.469999999999999</v>
      </c>
    </row>
    <row r="170" hidden="1">
      <c r="A170">
        <v>16</v>
      </c>
      <c r="B170">
        <v>8</v>
      </c>
      <c r="C170">
        <v>224</v>
      </c>
      <c r="D170" s="9">
        <v>0.32000000000000001</v>
      </c>
      <c r="E170" s="10">
        <v>16.670000000000002</v>
      </c>
      <c r="F170">
        <v>397</v>
      </c>
      <c r="G170" s="9">
        <v>0.56710000000000005</v>
      </c>
      <c r="H170" s="11">
        <v>20.5</v>
      </c>
    </row>
    <row r="171" hidden="1">
      <c r="A171">
        <v>16</v>
      </c>
      <c r="B171">
        <v>9</v>
      </c>
      <c r="C171">
        <v>204</v>
      </c>
      <c r="D171" s="9">
        <v>0.29139999999999999</v>
      </c>
      <c r="E171" s="11">
        <v>15.5</v>
      </c>
      <c r="F171">
        <v>386</v>
      </c>
      <c r="G171" s="9">
        <v>0.5514</v>
      </c>
      <c r="H171" s="10">
        <v>20.289999999999999</v>
      </c>
    </row>
    <row r="172" hidden="1">
      <c r="A172">
        <v>17</v>
      </c>
      <c r="B172">
        <v>0</v>
      </c>
      <c r="C172">
        <v>170</v>
      </c>
      <c r="D172" s="9">
        <v>0.2429</v>
      </c>
      <c r="E172" s="10">
        <v>15.09</v>
      </c>
      <c r="F172">
        <v>373</v>
      </c>
      <c r="G172" s="9">
        <v>0.53290000000000004</v>
      </c>
      <c r="H172" s="10">
        <v>20.329999999999998</v>
      </c>
    </row>
    <row r="173" hidden="1">
      <c r="A173">
        <v>17</v>
      </c>
      <c r="B173">
        <v>1</v>
      </c>
      <c r="C173">
        <v>187</v>
      </c>
      <c r="D173" s="9">
        <v>0.2671</v>
      </c>
      <c r="E173" s="10">
        <v>15.69</v>
      </c>
      <c r="F173">
        <v>375</v>
      </c>
      <c r="G173" s="9">
        <v>0.53569999999999995</v>
      </c>
      <c r="H173" s="10">
        <v>20.489999999999998</v>
      </c>
    </row>
    <row r="174" hidden="1">
      <c r="A174">
        <v>17</v>
      </c>
      <c r="B174">
        <v>2</v>
      </c>
      <c r="C174">
        <v>191</v>
      </c>
      <c r="D174" s="9">
        <v>0.27289999999999998</v>
      </c>
      <c r="E174" s="10">
        <v>15.33</v>
      </c>
      <c r="F174">
        <v>348</v>
      </c>
      <c r="G174" s="9">
        <v>0.49709999999999999</v>
      </c>
      <c r="H174" s="10">
        <v>19.32</v>
      </c>
    </row>
    <row r="175" hidden="1">
      <c r="A175">
        <v>17</v>
      </c>
      <c r="B175">
        <v>3</v>
      </c>
      <c r="C175">
        <v>189</v>
      </c>
      <c r="D175" s="9">
        <v>0.27000000000000002</v>
      </c>
      <c r="E175" s="10">
        <v>14.869999999999999</v>
      </c>
      <c r="F175">
        <v>351</v>
      </c>
      <c r="G175" s="9">
        <v>0.50139999999999996</v>
      </c>
      <c r="H175" s="10">
        <v>19.489999999999998</v>
      </c>
    </row>
    <row r="176" hidden="1">
      <c r="A176">
        <v>17</v>
      </c>
      <c r="B176">
        <v>4</v>
      </c>
      <c r="C176">
        <v>240</v>
      </c>
      <c r="D176" s="9">
        <v>0.34289999999999998</v>
      </c>
      <c r="E176" s="10">
        <v>17.460000000000001</v>
      </c>
      <c r="F176">
        <v>371</v>
      </c>
      <c r="G176" s="9">
        <v>0.53000000000000003</v>
      </c>
      <c r="H176" s="10">
        <v>20.539999999999999</v>
      </c>
    </row>
    <row r="177" hidden="1">
      <c r="A177">
        <v>17</v>
      </c>
      <c r="B177">
        <v>5</v>
      </c>
      <c r="C177">
        <v>200</v>
      </c>
      <c r="D177" s="9">
        <v>0.28570000000000001</v>
      </c>
      <c r="E177" s="10">
        <v>15.56</v>
      </c>
      <c r="F177">
        <v>374</v>
      </c>
      <c r="G177" s="9">
        <v>0.5343</v>
      </c>
      <c r="H177" s="10">
        <v>20.27</v>
      </c>
    </row>
    <row r="178" hidden="1">
      <c r="A178">
        <v>17</v>
      </c>
      <c r="B178">
        <v>6</v>
      </c>
      <c r="C178">
        <v>253</v>
      </c>
      <c r="D178" s="9">
        <v>0.3614</v>
      </c>
      <c r="E178" s="10">
        <v>17.260000000000002</v>
      </c>
      <c r="F178">
        <v>381</v>
      </c>
      <c r="G178" s="9">
        <v>0.54430000000000001</v>
      </c>
      <c r="H178" s="10">
        <v>20.940000000000001</v>
      </c>
    </row>
    <row r="179" hidden="1">
      <c r="A179">
        <v>17</v>
      </c>
      <c r="B179">
        <v>7</v>
      </c>
      <c r="C179">
        <v>235</v>
      </c>
      <c r="D179" s="9">
        <v>0.3357</v>
      </c>
      <c r="E179" s="10">
        <v>17.07</v>
      </c>
      <c r="F179">
        <v>382</v>
      </c>
      <c r="G179" s="9">
        <v>0.54569999999999996</v>
      </c>
      <c r="H179" s="11">
        <v>20.699999999999999</v>
      </c>
    </row>
    <row r="180" hidden="1">
      <c r="A180">
        <v>17</v>
      </c>
      <c r="B180">
        <v>8</v>
      </c>
      <c r="C180">
        <v>209</v>
      </c>
      <c r="D180" s="9">
        <v>0.29859999999999998</v>
      </c>
      <c r="E180" s="10">
        <v>16.93</v>
      </c>
      <c r="F180">
        <v>408</v>
      </c>
      <c r="G180" s="9">
        <v>0.58289999999999997</v>
      </c>
      <c r="H180" s="10">
        <v>21.350000000000001</v>
      </c>
    </row>
    <row r="181" hidden="1">
      <c r="A181">
        <v>17</v>
      </c>
      <c r="B181">
        <v>9</v>
      </c>
      <c r="C181">
        <v>224</v>
      </c>
      <c r="D181" s="9">
        <v>0.32000000000000001</v>
      </c>
      <c r="E181" s="10">
        <v>16.949999999999999</v>
      </c>
      <c r="F181">
        <v>389</v>
      </c>
      <c r="G181" s="9">
        <v>0.55569999999999997</v>
      </c>
      <c r="H181" s="10">
        <v>20.739999999999998</v>
      </c>
    </row>
    <row r="182" hidden="1">
      <c r="A182">
        <v>18</v>
      </c>
      <c r="B182">
        <v>0</v>
      </c>
      <c r="C182">
        <v>183</v>
      </c>
      <c r="D182" s="9">
        <v>0.26140000000000002</v>
      </c>
      <c r="E182" s="10">
        <v>15.08</v>
      </c>
      <c r="F182">
        <v>371</v>
      </c>
      <c r="G182" s="9">
        <v>0.53000000000000003</v>
      </c>
      <c r="H182" s="10">
        <v>20.18</v>
      </c>
    </row>
    <row r="183" hidden="1">
      <c r="A183">
        <v>18</v>
      </c>
      <c r="B183">
        <v>1</v>
      </c>
      <c r="C183">
        <v>214</v>
      </c>
      <c r="D183" s="9">
        <v>0.30570000000000003</v>
      </c>
      <c r="E183" s="10">
        <v>16.859999999999999</v>
      </c>
      <c r="F183">
        <v>340</v>
      </c>
      <c r="G183" s="9">
        <v>0.48570000000000002</v>
      </c>
      <c r="H183" s="10">
        <v>19.260000000000002</v>
      </c>
    </row>
    <row r="184" hidden="1">
      <c r="A184">
        <v>18</v>
      </c>
      <c r="B184">
        <v>2</v>
      </c>
      <c r="C184">
        <v>231</v>
      </c>
      <c r="D184" s="9">
        <v>0.33000000000000002</v>
      </c>
      <c r="E184" s="10">
        <v>16.02</v>
      </c>
      <c r="F184">
        <v>353</v>
      </c>
      <c r="G184" s="9">
        <v>0.50429999999999997</v>
      </c>
      <c r="H184" s="10">
        <v>19.559999999999999</v>
      </c>
    </row>
    <row r="185" hidden="1">
      <c r="A185">
        <v>18</v>
      </c>
      <c r="B185">
        <v>3</v>
      </c>
      <c r="C185">
        <v>245</v>
      </c>
      <c r="D185" s="9">
        <v>0.34999999999999998</v>
      </c>
      <c r="E185" s="10">
        <v>16.440000000000001</v>
      </c>
      <c r="F185">
        <v>385</v>
      </c>
      <c r="G185" s="9">
        <v>0.55000000000000004</v>
      </c>
      <c r="H185" s="10">
        <v>20.440000000000001</v>
      </c>
    </row>
    <row r="186" hidden="1">
      <c r="A186">
        <v>18</v>
      </c>
      <c r="B186">
        <v>4</v>
      </c>
      <c r="C186">
        <v>177</v>
      </c>
      <c r="D186" s="9">
        <v>0.25290000000000001</v>
      </c>
      <c r="E186" s="10">
        <v>15.130000000000001</v>
      </c>
      <c r="F186">
        <v>341</v>
      </c>
      <c r="G186" s="9">
        <v>0.48709999999999998</v>
      </c>
      <c r="H186" s="11">
        <v>19.800000000000001</v>
      </c>
    </row>
    <row r="187" hidden="1">
      <c r="A187">
        <v>18</v>
      </c>
      <c r="B187">
        <v>5</v>
      </c>
      <c r="C187">
        <v>196</v>
      </c>
      <c r="D187" s="9">
        <v>0.28000000000000003</v>
      </c>
      <c r="E187" s="10">
        <v>16.329999999999998</v>
      </c>
      <c r="F187">
        <v>363</v>
      </c>
      <c r="G187" s="9">
        <v>0.51859999999999995</v>
      </c>
      <c r="H187" s="10">
        <v>20.149999999999999</v>
      </c>
    </row>
    <row r="188" hidden="1">
      <c r="A188">
        <v>18</v>
      </c>
      <c r="B188">
        <v>6</v>
      </c>
      <c r="C188">
        <v>184</v>
      </c>
      <c r="D188" s="9">
        <v>0.26290000000000002</v>
      </c>
      <c r="E188" s="10">
        <v>15.869999999999999</v>
      </c>
      <c r="F188">
        <v>243</v>
      </c>
      <c r="G188" s="9">
        <v>0.34710000000000002</v>
      </c>
      <c r="H188" s="10">
        <v>17.670000000000002</v>
      </c>
    </row>
    <row r="189" hidden="1">
      <c r="A189">
        <v>18</v>
      </c>
      <c r="B189">
        <v>7</v>
      </c>
      <c r="C189">
        <v>216</v>
      </c>
      <c r="D189" s="9">
        <v>0.30859999999999999</v>
      </c>
      <c r="E189" s="10">
        <v>16.780000000000001</v>
      </c>
      <c r="F189">
        <v>364</v>
      </c>
      <c r="G189" s="9">
        <v>0.52000000000000002</v>
      </c>
      <c r="H189" s="10">
        <v>20.149999999999999</v>
      </c>
    </row>
    <row r="190" hidden="1">
      <c r="A190">
        <v>18</v>
      </c>
      <c r="B190">
        <v>8</v>
      </c>
      <c r="C190">
        <v>189</v>
      </c>
      <c r="D190" s="9">
        <v>0.27000000000000002</v>
      </c>
      <c r="E190" s="10">
        <v>15.15</v>
      </c>
      <c r="F190">
        <v>361</v>
      </c>
      <c r="G190" s="9">
        <v>0.51570000000000005</v>
      </c>
      <c r="H190" s="10">
        <v>20.010000000000002</v>
      </c>
    </row>
    <row r="191" hidden="1">
      <c r="A191">
        <v>18</v>
      </c>
      <c r="B191">
        <v>9</v>
      </c>
      <c r="C191">
        <v>187</v>
      </c>
      <c r="D191" s="9">
        <v>0.2671</v>
      </c>
      <c r="E191" s="10">
        <v>16.09</v>
      </c>
      <c r="F191">
        <v>386</v>
      </c>
      <c r="G191" s="9">
        <v>0.5514</v>
      </c>
      <c r="H191" s="10">
        <v>20.890000000000001</v>
      </c>
    </row>
    <row r="192" hidden="1">
      <c r="A192">
        <v>19</v>
      </c>
      <c r="B192">
        <v>0</v>
      </c>
      <c r="C192">
        <v>101</v>
      </c>
      <c r="D192" s="9">
        <v>0.14430000000000001</v>
      </c>
      <c r="E192" s="11">
        <v>14.199999999999999</v>
      </c>
      <c r="F192">
        <v>234</v>
      </c>
      <c r="G192" s="9">
        <v>0.33429999999999999</v>
      </c>
      <c r="H192" s="10">
        <v>17.25</v>
      </c>
    </row>
    <row r="193" hidden="1">
      <c r="A193">
        <v>19</v>
      </c>
      <c r="B193">
        <v>1</v>
      </c>
      <c r="C193">
        <v>110</v>
      </c>
      <c r="D193" s="9">
        <v>0.15709999999999999</v>
      </c>
      <c r="E193" s="10">
        <v>13.83</v>
      </c>
      <c r="F193">
        <v>240</v>
      </c>
      <c r="G193" s="9">
        <v>0.34289999999999998</v>
      </c>
      <c r="H193" s="10">
        <v>17.41</v>
      </c>
    </row>
    <row r="194" hidden="1">
      <c r="A194">
        <v>19</v>
      </c>
      <c r="B194">
        <v>2</v>
      </c>
      <c r="C194">
        <v>111</v>
      </c>
      <c r="D194" s="9">
        <v>0.15859999999999999</v>
      </c>
      <c r="E194" s="10">
        <v>14.02</v>
      </c>
      <c r="F194">
        <v>223</v>
      </c>
      <c r="G194" s="9">
        <v>0.31859999999999999</v>
      </c>
      <c r="H194" s="10">
        <v>16.68</v>
      </c>
    </row>
    <row r="195" hidden="1">
      <c r="A195">
        <v>19</v>
      </c>
      <c r="B195">
        <v>3</v>
      </c>
      <c r="C195">
        <v>97</v>
      </c>
      <c r="D195" s="9">
        <v>0.1386</v>
      </c>
      <c r="E195" s="10">
        <v>13.65</v>
      </c>
      <c r="F195">
        <v>212</v>
      </c>
      <c r="G195" s="9">
        <v>0.3029</v>
      </c>
      <c r="H195" s="10">
        <v>16.550000000000001</v>
      </c>
    </row>
    <row r="196" hidden="1">
      <c r="A196">
        <v>19</v>
      </c>
      <c r="B196">
        <v>4</v>
      </c>
      <c r="C196">
        <v>78</v>
      </c>
      <c r="D196" s="9">
        <v>0.1114</v>
      </c>
      <c r="E196" s="10">
        <v>12.470000000000001</v>
      </c>
      <c r="F196">
        <v>209</v>
      </c>
      <c r="G196" s="9">
        <v>0.29859999999999998</v>
      </c>
      <c r="H196" s="10">
        <v>16.16</v>
      </c>
    </row>
    <row r="197" hidden="1">
      <c r="A197">
        <v>19</v>
      </c>
      <c r="B197">
        <v>5</v>
      </c>
      <c r="C197">
        <v>123</v>
      </c>
      <c r="D197" s="9">
        <v>0.1757</v>
      </c>
      <c r="E197" s="10">
        <v>14.140000000000001</v>
      </c>
      <c r="F197">
        <v>241</v>
      </c>
      <c r="G197" s="9">
        <v>0.34429999999999999</v>
      </c>
      <c r="H197" s="10">
        <v>16.98</v>
      </c>
    </row>
    <row r="198" hidden="1">
      <c r="A198">
        <v>19</v>
      </c>
      <c r="B198">
        <v>6</v>
      </c>
      <c r="C198">
        <v>111</v>
      </c>
      <c r="D198" s="9">
        <v>0.15859999999999999</v>
      </c>
      <c r="E198" s="10">
        <v>13.26</v>
      </c>
      <c r="F198">
        <v>207</v>
      </c>
      <c r="G198" s="9">
        <v>0.29570000000000002</v>
      </c>
      <c r="H198" s="10">
        <v>16.460000000000001</v>
      </c>
    </row>
    <row r="199" hidden="1">
      <c r="A199">
        <v>19</v>
      </c>
      <c r="B199">
        <v>7</v>
      </c>
      <c r="C199">
        <v>90</v>
      </c>
      <c r="D199" s="9">
        <v>0.12859999999999999</v>
      </c>
      <c r="E199" s="10">
        <v>13.08</v>
      </c>
      <c r="F199">
        <v>163</v>
      </c>
      <c r="G199" s="9">
        <v>0.2329</v>
      </c>
      <c r="H199" s="10">
        <v>15.390000000000001</v>
      </c>
    </row>
    <row r="200" hidden="1">
      <c r="A200">
        <v>19</v>
      </c>
      <c r="B200">
        <v>8</v>
      </c>
      <c r="C200">
        <v>93</v>
      </c>
      <c r="D200" s="9">
        <v>0.13289999999999999</v>
      </c>
      <c r="E200" s="10">
        <v>13.59</v>
      </c>
      <c r="F200">
        <v>220</v>
      </c>
      <c r="G200" s="9">
        <v>0.31430000000000002</v>
      </c>
      <c r="H200" s="10">
        <v>16.890000000000001</v>
      </c>
    </row>
    <row r="201" hidden="1">
      <c r="A201">
        <v>19</v>
      </c>
      <c r="B201">
        <v>9</v>
      </c>
      <c r="C201">
        <v>148</v>
      </c>
      <c r="D201" s="9">
        <v>0.2114</v>
      </c>
      <c r="E201" s="10">
        <v>14.710000000000001</v>
      </c>
      <c r="F201">
        <v>282</v>
      </c>
      <c r="G201" s="9">
        <v>0.40289999999999998</v>
      </c>
      <c r="H201" s="10">
        <v>18.559999999999999</v>
      </c>
    </row>
    <row r="202" hidden="1">
      <c r="A202">
        <v>20</v>
      </c>
      <c r="B202">
        <v>0</v>
      </c>
      <c r="C202">
        <v>129</v>
      </c>
      <c r="D202" s="9">
        <v>0.18429999999999999</v>
      </c>
      <c r="E202" s="10">
        <v>14.119999999999999</v>
      </c>
      <c r="F202">
        <v>238</v>
      </c>
      <c r="G202" s="9">
        <v>0.34000000000000002</v>
      </c>
      <c r="H202" s="10">
        <v>16.960000000000001</v>
      </c>
    </row>
    <row r="203" hidden="1">
      <c r="A203">
        <v>20</v>
      </c>
      <c r="B203">
        <v>1</v>
      </c>
      <c r="C203">
        <v>118</v>
      </c>
      <c r="D203" s="9">
        <v>0.1686</v>
      </c>
      <c r="E203" s="10">
        <v>13.82</v>
      </c>
      <c r="F203">
        <v>221</v>
      </c>
      <c r="G203" s="9">
        <v>0.31569999999999998</v>
      </c>
      <c r="H203" s="10">
        <v>16.739999999999998</v>
      </c>
    </row>
    <row r="204" hidden="1">
      <c r="A204">
        <v>20</v>
      </c>
      <c r="B204">
        <v>2</v>
      </c>
      <c r="C204">
        <v>127</v>
      </c>
      <c r="D204" s="9">
        <v>0.18140000000000001</v>
      </c>
      <c r="E204" s="10">
        <v>14.539999999999999</v>
      </c>
      <c r="F204">
        <v>262</v>
      </c>
      <c r="G204" s="9">
        <v>0.37430000000000002</v>
      </c>
      <c r="H204" s="10">
        <v>18.25</v>
      </c>
    </row>
    <row r="205" hidden="1">
      <c r="A205">
        <v>20</v>
      </c>
      <c r="B205">
        <v>3</v>
      </c>
      <c r="C205">
        <v>131</v>
      </c>
      <c r="D205" s="9">
        <v>0.18709999999999999</v>
      </c>
      <c r="E205" s="10">
        <v>15.109999999999999</v>
      </c>
      <c r="F205">
        <v>302</v>
      </c>
      <c r="G205" s="9">
        <v>0.43140000000000001</v>
      </c>
      <c r="H205" s="10">
        <v>18.989999999999998</v>
      </c>
    </row>
    <row r="206" hidden="1">
      <c r="A206">
        <v>20</v>
      </c>
      <c r="B206">
        <v>4</v>
      </c>
      <c r="C206">
        <v>140</v>
      </c>
      <c r="D206" s="9">
        <v>0.20000000000000001</v>
      </c>
      <c r="E206" s="10">
        <v>15.06</v>
      </c>
      <c r="F206">
        <v>271</v>
      </c>
      <c r="G206" s="9">
        <v>0.3871</v>
      </c>
      <c r="H206" s="10">
        <v>18.109999999999999</v>
      </c>
    </row>
    <row r="207" hidden="1">
      <c r="A207">
        <v>20</v>
      </c>
      <c r="B207">
        <v>5</v>
      </c>
      <c r="C207">
        <v>152</v>
      </c>
      <c r="D207" s="9">
        <v>0.21709999999999999</v>
      </c>
      <c r="E207" s="10">
        <v>14.34</v>
      </c>
      <c r="F207">
        <v>209</v>
      </c>
      <c r="G207" s="9">
        <v>0.29859999999999998</v>
      </c>
      <c r="H207" s="10">
        <v>16.18</v>
      </c>
    </row>
    <row r="208" hidden="1">
      <c r="A208">
        <v>20</v>
      </c>
      <c r="B208">
        <v>6</v>
      </c>
      <c r="C208">
        <v>128</v>
      </c>
      <c r="D208" s="9">
        <v>0.18290000000000001</v>
      </c>
      <c r="E208" s="10">
        <v>14.76</v>
      </c>
      <c r="F208">
        <v>246</v>
      </c>
      <c r="G208" s="9">
        <v>0.35139999999999999</v>
      </c>
      <c r="H208" s="10">
        <v>17.73</v>
      </c>
    </row>
    <row r="209" hidden="1">
      <c r="A209">
        <v>20</v>
      </c>
      <c r="B209">
        <v>7</v>
      </c>
      <c r="C209">
        <v>123</v>
      </c>
      <c r="D209" s="9">
        <v>0.1757</v>
      </c>
      <c r="E209" s="10">
        <v>14.029999999999999</v>
      </c>
      <c r="F209">
        <v>239</v>
      </c>
      <c r="G209" s="9">
        <v>0.34139999999999998</v>
      </c>
      <c r="H209" s="10">
        <v>17.170000000000002</v>
      </c>
    </row>
    <row r="210" hidden="1">
      <c r="A210">
        <v>20</v>
      </c>
      <c r="B210">
        <v>8</v>
      </c>
      <c r="C210">
        <v>102</v>
      </c>
      <c r="D210" s="9">
        <v>0.1457</v>
      </c>
      <c r="E210" s="11">
        <v>13.699999999999999</v>
      </c>
      <c r="F210">
        <v>196</v>
      </c>
      <c r="G210" s="9">
        <v>0.28000000000000003</v>
      </c>
      <c r="H210" s="11">
        <v>16.699999999999999</v>
      </c>
    </row>
    <row r="211" hidden="1">
      <c r="A211">
        <v>20</v>
      </c>
      <c r="B211">
        <v>9</v>
      </c>
      <c r="C211">
        <v>138</v>
      </c>
      <c r="D211" s="9">
        <v>0.1971</v>
      </c>
      <c r="E211" s="10">
        <v>14.35</v>
      </c>
      <c r="F211">
        <v>257</v>
      </c>
      <c r="G211" s="9">
        <v>0.36709999999999998</v>
      </c>
      <c r="H211" s="10">
        <v>17.920000000000002</v>
      </c>
    </row>
    <row r="212" hidden="1">
      <c r="A212">
        <v>21</v>
      </c>
      <c r="B212">
        <v>0</v>
      </c>
      <c r="C212">
        <v>116</v>
      </c>
      <c r="D212" s="9">
        <v>0.16569999999999999</v>
      </c>
      <c r="E212" s="10">
        <v>14.25</v>
      </c>
      <c r="F212">
        <v>248</v>
      </c>
      <c r="G212" s="9">
        <v>0.3543</v>
      </c>
      <c r="H212" s="10">
        <v>17.66</v>
      </c>
    </row>
    <row r="213" hidden="1">
      <c r="A213">
        <v>21</v>
      </c>
      <c r="B213">
        <v>1</v>
      </c>
      <c r="C213">
        <v>123</v>
      </c>
      <c r="D213" s="9">
        <v>0.1757</v>
      </c>
      <c r="E213" s="10">
        <v>14.25</v>
      </c>
      <c r="F213">
        <v>220</v>
      </c>
      <c r="G213" s="9">
        <v>0.31430000000000002</v>
      </c>
      <c r="H213" s="10">
        <v>16.859999999999999</v>
      </c>
    </row>
    <row r="214" hidden="1">
      <c r="A214">
        <v>21</v>
      </c>
      <c r="B214">
        <v>2</v>
      </c>
      <c r="C214">
        <v>159</v>
      </c>
      <c r="D214" s="9">
        <v>0.2271</v>
      </c>
      <c r="E214" s="11">
        <v>15.699999999999999</v>
      </c>
      <c r="F214">
        <v>288</v>
      </c>
      <c r="G214" s="9">
        <v>0.41139999999999999</v>
      </c>
      <c r="H214" s="10">
        <v>18.66</v>
      </c>
    </row>
    <row r="215" hidden="1">
      <c r="A215">
        <v>21</v>
      </c>
      <c r="B215">
        <v>3</v>
      </c>
      <c r="C215">
        <v>169</v>
      </c>
      <c r="D215" s="9">
        <v>0.2414</v>
      </c>
      <c r="E215" s="10">
        <v>15.93</v>
      </c>
      <c r="F215">
        <v>278</v>
      </c>
      <c r="G215" s="9">
        <v>0.39710000000000001</v>
      </c>
      <c r="H215" s="10">
        <v>18.620000000000001</v>
      </c>
    </row>
    <row r="216" hidden="1">
      <c r="A216">
        <v>21</v>
      </c>
      <c r="B216">
        <v>4</v>
      </c>
      <c r="C216">
        <v>112</v>
      </c>
      <c r="D216" s="9">
        <v>0.16</v>
      </c>
      <c r="E216" s="10">
        <v>14.07</v>
      </c>
      <c r="F216">
        <v>251</v>
      </c>
      <c r="G216" s="9">
        <v>0.35859999999999997</v>
      </c>
      <c r="H216" s="11">
        <v>17.600000000000001</v>
      </c>
    </row>
    <row r="217" hidden="1">
      <c r="A217">
        <v>21</v>
      </c>
      <c r="B217">
        <v>5</v>
      </c>
      <c r="C217">
        <v>127</v>
      </c>
      <c r="D217" s="9">
        <v>0.18140000000000001</v>
      </c>
      <c r="E217" s="10">
        <v>13.73</v>
      </c>
      <c r="F217">
        <v>223</v>
      </c>
      <c r="G217" s="9">
        <v>0.31859999999999999</v>
      </c>
      <c r="H217" s="10">
        <v>17.370000000000001</v>
      </c>
    </row>
    <row r="218" hidden="1">
      <c r="A218">
        <v>21</v>
      </c>
      <c r="B218">
        <v>6</v>
      </c>
      <c r="C218">
        <v>156</v>
      </c>
      <c r="D218" s="9">
        <v>0.22289999999999999</v>
      </c>
      <c r="E218" s="10">
        <v>15.25</v>
      </c>
      <c r="F218">
        <v>288</v>
      </c>
      <c r="G218" s="9">
        <v>0.41139999999999999</v>
      </c>
      <c r="H218" s="10">
        <v>18.850000000000001</v>
      </c>
    </row>
    <row r="219" hidden="1">
      <c r="A219">
        <v>21</v>
      </c>
      <c r="B219">
        <v>7</v>
      </c>
      <c r="C219">
        <v>123</v>
      </c>
      <c r="D219" s="9">
        <v>0.1757</v>
      </c>
      <c r="E219" s="10">
        <v>13.869999999999999</v>
      </c>
      <c r="F219">
        <v>254</v>
      </c>
      <c r="G219" s="9">
        <v>0.3629</v>
      </c>
      <c r="H219" s="10">
        <v>17.260000000000002</v>
      </c>
    </row>
    <row r="220" hidden="1">
      <c r="A220">
        <v>21</v>
      </c>
      <c r="B220">
        <v>8</v>
      </c>
      <c r="C220">
        <v>107</v>
      </c>
      <c r="D220" s="9">
        <v>0.15290000000000001</v>
      </c>
      <c r="E220" s="10">
        <v>13.18</v>
      </c>
      <c r="F220">
        <v>225</v>
      </c>
      <c r="G220" s="9">
        <v>0.32140000000000002</v>
      </c>
      <c r="H220" s="10">
        <v>16.489999999999998</v>
      </c>
    </row>
    <row r="221" hidden="1">
      <c r="A221">
        <v>21</v>
      </c>
      <c r="B221">
        <v>9</v>
      </c>
      <c r="C221">
        <v>137</v>
      </c>
      <c r="D221" s="9">
        <v>0.19570000000000001</v>
      </c>
      <c r="E221" s="10">
        <v>14.91</v>
      </c>
      <c r="F221">
        <v>264</v>
      </c>
      <c r="G221" s="9">
        <v>0.37709999999999999</v>
      </c>
      <c r="H221" s="10">
        <v>17.890000000000001</v>
      </c>
    </row>
    <row r="222" hidden="1">
      <c r="A222">
        <v>22</v>
      </c>
      <c r="B222">
        <v>0</v>
      </c>
      <c r="C222">
        <v>171</v>
      </c>
      <c r="D222" s="9">
        <v>0.24429999999999999</v>
      </c>
      <c r="E222" s="11">
        <v>15.300000000000001</v>
      </c>
      <c r="F222">
        <v>347</v>
      </c>
      <c r="G222" s="9">
        <v>0.49569999999999997</v>
      </c>
      <c r="H222" s="11">
        <v>19.399999999999999</v>
      </c>
    </row>
    <row r="223" hidden="1">
      <c r="A223">
        <v>22</v>
      </c>
      <c r="B223">
        <v>1</v>
      </c>
      <c r="C223">
        <v>136</v>
      </c>
      <c r="D223" s="9">
        <v>0.1943</v>
      </c>
      <c r="E223" s="10">
        <v>14.77</v>
      </c>
      <c r="F223">
        <v>281</v>
      </c>
      <c r="G223" s="9">
        <v>0.40139999999999998</v>
      </c>
      <c r="H223" s="10">
        <v>18.16</v>
      </c>
    </row>
    <row r="224" hidden="1">
      <c r="A224">
        <v>22</v>
      </c>
      <c r="B224">
        <v>2</v>
      </c>
      <c r="C224">
        <v>142</v>
      </c>
      <c r="D224" s="9">
        <v>0.2029</v>
      </c>
      <c r="E224" s="10">
        <v>14.17</v>
      </c>
      <c r="F224">
        <v>269</v>
      </c>
      <c r="G224" s="9">
        <v>0.38429999999999997</v>
      </c>
      <c r="H224" s="10">
        <v>18.010000000000002</v>
      </c>
    </row>
    <row r="225" hidden="1">
      <c r="A225">
        <v>22</v>
      </c>
      <c r="B225">
        <v>3</v>
      </c>
      <c r="C225">
        <v>145</v>
      </c>
      <c r="D225" s="9">
        <v>0.20710000000000001</v>
      </c>
      <c r="E225" s="10">
        <v>14.49</v>
      </c>
      <c r="F225">
        <v>278</v>
      </c>
      <c r="G225" s="9">
        <v>0.39710000000000001</v>
      </c>
      <c r="H225" s="10">
        <v>18.309999999999999</v>
      </c>
    </row>
    <row r="226" hidden="1">
      <c r="A226">
        <v>22</v>
      </c>
      <c r="B226">
        <v>4</v>
      </c>
      <c r="C226">
        <v>151</v>
      </c>
      <c r="D226" s="9">
        <v>0.2157</v>
      </c>
      <c r="E226" s="11">
        <v>15.1</v>
      </c>
      <c r="F226">
        <v>269</v>
      </c>
      <c r="G226" s="9">
        <v>0.38429999999999997</v>
      </c>
      <c r="H226" s="10">
        <v>18.149999999999999</v>
      </c>
    </row>
    <row r="227" hidden="1">
      <c r="A227">
        <v>22</v>
      </c>
      <c r="B227">
        <v>5</v>
      </c>
      <c r="C227">
        <v>150</v>
      </c>
      <c r="D227" s="9">
        <v>0.21429999999999999</v>
      </c>
      <c r="E227" s="10">
        <v>14.19</v>
      </c>
      <c r="F227">
        <v>277</v>
      </c>
      <c r="G227" s="9">
        <v>0.3957</v>
      </c>
      <c r="H227" s="10">
        <v>17.68</v>
      </c>
    </row>
    <row r="228" hidden="1">
      <c r="A228">
        <v>22</v>
      </c>
      <c r="B228">
        <v>6</v>
      </c>
      <c r="C228">
        <v>197</v>
      </c>
      <c r="D228" s="9">
        <v>0.28139999999999998</v>
      </c>
      <c r="E228" s="10">
        <v>16.32</v>
      </c>
      <c r="F228">
        <v>315</v>
      </c>
      <c r="G228" s="9">
        <v>0.45000000000000001</v>
      </c>
      <c r="H228" s="10">
        <v>19.329999999999998</v>
      </c>
    </row>
    <row r="229" hidden="1">
      <c r="A229">
        <v>22</v>
      </c>
      <c r="B229">
        <v>7</v>
      </c>
      <c r="C229">
        <v>113</v>
      </c>
      <c r="D229" s="9">
        <v>0.16139999999999999</v>
      </c>
      <c r="E229" s="10">
        <v>13.85</v>
      </c>
      <c r="F229">
        <v>238</v>
      </c>
      <c r="G229" s="9">
        <v>0.34000000000000002</v>
      </c>
      <c r="H229" s="10">
        <v>17.27</v>
      </c>
    </row>
    <row r="230" hidden="1">
      <c r="A230">
        <v>22</v>
      </c>
      <c r="B230">
        <v>8</v>
      </c>
      <c r="C230">
        <v>172</v>
      </c>
      <c r="D230" s="9">
        <v>0.2457</v>
      </c>
      <c r="E230" s="10">
        <v>16.219999999999999</v>
      </c>
      <c r="F230">
        <v>340</v>
      </c>
      <c r="G230" s="9">
        <v>0.48570000000000002</v>
      </c>
      <c r="H230" s="10">
        <v>20.039999999999999</v>
      </c>
    </row>
    <row r="231" hidden="1">
      <c r="A231">
        <v>22</v>
      </c>
      <c r="B231">
        <v>9</v>
      </c>
      <c r="C231">
        <v>164</v>
      </c>
      <c r="D231" s="9">
        <v>0.23430000000000001</v>
      </c>
      <c r="E231" s="10">
        <v>15.119999999999999</v>
      </c>
      <c r="F231">
        <v>318</v>
      </c>
      <c r="G231" s="9">
        <v>0.45429999999999998</v>
      </c>
      <c r="H231" s="10">
        <v>18.91</v>
      </c>
    </row>
    <row r="232" hidden="1">
      <c r="A232">
        <v>23</v>
      </c>
      <c r="B232">
        <v>0</v>
      </c>
      <c r="C232">
        <v>133</v>
      </c>
      <c r="D232" s="9">
        <v>0.19</v>
      </c>
      <c r="E232" s="10">
        <v>14.970000000000001</v>
      </c>
      <c r="F232">
        <v>264</v>
      </c>
      <c r="G232" s="9">
        <v>0.37709999999999999</v>
      </c>
      <c r="H232" s="10">
        <v>18.390000000000001</v>
      </c>
    </row>
    <row r="233" hidden="1">
      <c r="A233">
        <v>23</v>
      </c>
      <c r="B233">
        <v>1</v>
      </c>
      <c r="C233">
        <v>133</v>
      </c>
      <c r="D233" s="9">
        <v>0.19</v>
      </c>
      <c r="E233" s="10">
        <v>14.99</v>
      </c>
      <c r="F233">
        <v>268</v>
      </c>
      <c r="G233" s="9">
        <v>0.38290000000000002</v>
      </c>
      <c r="H233" s="10">
        <v>18.960000000000001</v>
      </c>
    </row>
    <row r="234" hidden="1">
      <c r="A234">
        <v>23</v>
      </c>
      <c r="B234">
        <v>2</v>
      </c>
      <c r="C234">
        <v>166</v>
      </c>
      <c r="D234" s="9">
        <v>0.23710000000000001</v>
      </c>
      <c r="E234" s="10">
        <v>15.48</v>
      </c>
      <c r="F234">
        <v>320</v>
      </c>
      <c r="G234" s="9">
        <v>0.45710000000000001</v>
      </c>
      <c r="H234" s="10">
        <v>19.059999999999999</v>
      </c>
    </row>
    <row r="235" hidden="1">
      <c r="A235">
        <v>23</v>
      </c>
      <c r="B235">
        <v>3</v>
      </c>
      <c r="C235">
        <v>148</v>
      </c>
      <c r="D235" s="9">
        <v>0.2114</v>
      </c>
      <c r="E235" s="10">
        <v>15.220000000000001</v>
      </c>
      <c r="F235">
        <v>259</v>
      </c>
      <c r="G235" s="9">
        <v>0.37</v>
      </c>
      <c r="H235" s="10">
        <v>18.34</v>
      </c>
    </row>
    <row r="236" hidden="1">
      <c r="A236">
        <v>23</v>
      </c>
      <c r="B236">
        <v>4</v>
      </c>
      <c r="C236">
        <v>125</v>
      </c>
      <c r="D236" s="9">
        <v>0.17860000000000001</v>
      </c>
      <c r="E236" s="11">
        <v>14.199999999999999</v>
      </c>
      <c r="F236">
        <v>224</v>
      </c>
      <c r="G236" s="9">
        <v>0.32000000000000001</v>
      </c>
      <c r="H236" s="10">
        <v>17.370000000000001</v>
      </c>
    </row>
    <row r="237" hidden="1">
      <c r="A237">
        <v>23</v>
      </c>
      <c r="B237">
        <v>5</v>
      </c>
      <c r="C237">
        <v>176</v>
      </c>
      <c r="D237" s="9">
        <v>0.25140000000000001</v>
      </c>
      <c r="E237" s="10">
        <v>15.890000000000001</v>
      </c>
      <c r="F237">
        <v>317</v>
      </c>
      <c r="G237" s="9">
        <v>0.45290000000000002</v>
      </c>
      <c r="H237" s="10">
        <v>19.18</v>
      </c>
    </row>
    <row r="238" hidden="1">
      <c r="A238">
        <v>23</v>
      </c>
      <c r="B238">
        <v>6</v>
      </c>
      <c r="C238">
        <v>145</v>
      </c>
      <c r="D238" s="9">
        <v>0.20710000000000001</v>
      </c>
      <c r="E238" s="10">
        <v>15.48</v>
      </c>
      <c r="F238">
        <v>328</v>
      </c>
      <c r="G238" s="9">
        <v>0.46860000000000002</v>
      </c>
      <c r="H238" s="10">
        <v>19.640000000000001</v>
      </c>
    </row>
    <row r="239" hidden="1">
      <c r="A239">
        <v>23</v>
      </c>
      <c r="B239">
        <v>7</v>
      </c>
      <c r="C239">
        <v>171</v>
      </c>
      <c r="D239" s="9">
        <v>0.24429999999999999</v>
      </c>
      <c r="E239" s="11">
        <v>16.199999999999999</v>
      </c>
      <c r="F239">
        <v>298</v>
      </c>
      <c r="G239" s="9">
        <v>0.42570000000000002</v>
      </c>
      <c r="H239" s="11">
        <v>19.100000000000001</v>
      </c>
    </row>
    <row r="240" hidden="1">
      <c r="A240">
        <v>23</v>
      </c>
      <c r="B240">
        <v>8</v>
      </c>
      <c r="C240">
        <v>141</v>
      </c>
      <c r="D240" s="9">
        <v>0.2014</v>
      </c>
      <c r="E240" s="10">
        <v>15.07</v>
      </c>
      <c r="F240">
        <v>272</v>
      </c>
      <c r="G240" s="9">
        <v>0.3886</v>
      </c>
      <c r="H240" s="10">
        <v>18.07</v>
      </c>
    </row>
    <row r="241" hidden="1">
      <c r="A241">
        <v>23</v>
      </c>
      <c r="B241">
        <v>9</v>
      </c>
      <c r="C241">
        <v>152</v>
      </c>
      <c r="D241" s="9">
        <v>0.21709999999999999</v>
      </c>
      <c r="E241" s="10">
        <v>15.75</v>
      </c>
      <c r="F241">
        <v>293</v>
      </c>
      <c r="G241" s="9">
        <v>0.41860000000000003</v>
      </c>
      <c r="H241" s="10">
        <v>19.239999999999998</v>
      </c>
    </row>
    <row r="242" hidden="1">
      <c r="A242">
        <v>24</v>
      </c>
      <c r="B242">
        <v>0</v>
      </c>
      <c r="C242">
        <v>106</v>
      </c>
      <c r="D242" s="9">
        <v>0.15140000000000001</v>
      </c>
      <c r="E242" s="10">
        <v>13.85</v>
      </c>
      <c r="F242">
        <v>247</v>
      </c>
      <c r="G242" s="9">
        <v>0.35289999999999999</v>
      </c>
      <c r="H242" s="10">
        <v>17.41</v>
      </c>
    </row>
    <row r="243" hidden="1">
      <c r="A243">
        <v>24</v>
      </c>
      <c r="B243">
        <v>1</v>
      </c>
      <c r="C243">
        <v>109</v>
      </c>
      <c r="D243" s="9">
        <v>0.15570000000000001</v>
      </c>
      <c r="E243" s="10">
        <v>13.869999999999999</v>
      </c>
      <c r="F243">
        <v>247</v>
      </c>
      <c r="G243" s="9">
        <v>0.35289999999999999</v>
      </c>
      <c r="H243" s="10">
        <v>17.59</v>
      </c>
    </row>
    <row r="244" hidden="1">
      <c r="A244">
        <v>24</v>
      </c>
      <c r="B244">
        <v>2</v>
      </c>
      <c r="C244">
        <v>158</v>
      </c>
      <c r="D244" s="9">
        <v>0.22570000000000001</v>
      </c>
      <c r="E244" s="10">
        <v>15.15</v>
      </c>
      <c r="F244">
        <v>285</v>
      </c>
      <c r="G244" s="9">
        <v>0.40710000000000002</v>
      </c>
      <c r="H244" s="10">
        <v>18.440000000000001</v>
      </c>
    </row>
    <row r="245" hidden="1">
      <c r="A245">
        <v>24</v>
      </c>
      <c r="B245">
        <v>3</v>
      </c>
      <c r="C245">
        <v>150</v>
      </c>
      <c r="D245" s="9">
        <v>0.21429999999999999</v>
      </c>
      <c r="E245" s="10">
        <v>15.15</v>
      </c>
      <c r="F245">
        <v>313</v>
      </c>
      <c r="G245" s="9">
        <v>0.4471</v>
      </c>
      <c r="H245" s="10">
        <v>18.75</v>
      </c>
    </row>
    <row r="246" hidden="1">
      <c r="A246">
        <v>24</v>
      </c>
      <c r="B246">
        <v>4</v>
      </c>
      <c r="C246">
        <v>136</v>
      </c>
      <c r="D246" s="9">
        <v>0.1943</v>
      </c>
      <c r="E246" s="11">
        <v>15.1</v>
      </c>
      <c r="F246">
        <v>298</v>
      </c>
      <c r="G246" s="9">
        <v>0.42570000000000002</v>
      </c>
      <c r="H246" s="11">
        <v>19</v>
      </c>
    </row>
    <row r="247" hidden="1">
      <c r="A247">
        <v>24</v>
      </c>
      <c r="B247">
        <v>5</v>
      </c>
      <c r="C247">
        <v>156</v>
      </c>
      <c r="D247" s="9">
        <v>0.22289999999999999</v>
      </c>
      <c r="E247" s="10">
        <v>14.970000000000001</v>
      </c>
      <c r="F247">
        <v>329</v>
      </c>
      <c r="G247" s="9">
        <v>0.46999999999999997</v>
      </c>
      <c r="H247" s="10">
        <v>19.469999999999999</v>
      </c>
    </row>
    <row r="248" hidden="1">
      <c r="A248">
        <v>24</v>
      </c>
      <c r="B248">
        <v>6</v>
      </c>
      <c r="C248">
        <v>138</v>
      </c>
      <c r="D248" s="9">
        <v>0.1971</v>
      </c>
      <c r="E248" s="10">
        <v>14.84</v>
      </c>
      <c r="F248">
        <v>309</v>
      </c>
      <c r="G248" s="9">
        <v>0.44140000000000001</v>
      </c>
      <c r="H248" s="10">
        <v>18.989999999999998</v>
      </c>
    </row>
    <row r="249" hidden="1">
      <c r="A249">
        <v>24</v>
      </c>
      <c r="B249">
        <v>7</v>
      </c>
      <c r="C249">
        <v>157</v>
      </c>
      <c r="D249" s="9">
        <v>0.2243</v>
      </c>
      <c r="E249" s="10">
        <v>16.07</v>
      </c>
      <c r="F249">
        <v>295</v>
      </c>
      <c r="G249" s="9">
        <v>0.4214</v>
      </c>
      <c r="H249" s="10">
        <v>18.920000000000002</v>
      </c>
    </row>
    <row r="250" hidden="1">
      <c r="A250">
        <v>24</v>
      </c>
      <c r="B250">
        <v>8</v>
      </c>
      <c r="C250">
        <v>150</v>
      </c>
      <c r="D250" s="9">
        <v>0.21429999999999999</v>
      </c>
      <c r="E250" s="10">
        <v>15.859999999999999</v>
      </c>
      <c r="F250">
        <v>307</v>
      </c>
      <c r="G250" s="9">
        <v>0.43859999999999999</v>
      </c>
      <c r="H250" s="10">
        <v>19.289999999999999</v>
      </c>
    </row>
    <row r="251" hidden="1">
      <c r="A251">
        <v>24</v>
      </c>
      <c r="B251">
        <v>9</v>
      </c>
      <c r="C251">
        <v>148</v>
      </c>
      <c r="D251" s="9">
        <v>0.2114</v>
      </c>
      <c r="E251" s="10">
        <v>14.81</v>
      </c>
      <c r="F251">
        <v>243</v>
      </c>
      <c r="G251" s="9">
        <v>0.34710000000000002</v>
      </c>
      <c r="H251" s="10">
        <v>17.32</v>
      </c>
    </row>
    <row r="252" hidden="1">
      <c r="A252">
        <v>25</v>
      </c>
      <c r="B252">
        <v>0</v>
      </c>
      <c r="C252">
        <v>210</v>
      </c>
      <c r="D252" s="9">
        <v>0.29999999999999999</v>
      </c>
      <c r="E252" s="11">
        <v>16.5</v>
      </c>
      <c r="F252">
        <v>349</v>
      </c>
      <c r="G252" s="9">
        <v>0.49859999999999999</v>
      </c>
      <c r="H252" s="10">
        <v>20.309999999999999</v>
      </c>
    </row>
    <row r="253" hidden="1">
      <c r="A253">
        <v>25</v>
      </c>
      <c r="B253">
        <v>1</v>
      </c>
      <c r="C253">
        <v>120</v>
      </c>
      <c r="D253" s="9">
        <v>0.1714</v>
      </c>
      <c r="E253" s="10">
        <v>14.32</v>
      </c>
      <c r="F253">
        <v>268</v>
      </c>
      <c r="G253" s="9">
        <v>0.38290000000000002</v>
      </c>
      <c r="H253" s="10">
        <v>18.030000000000001</v>
      </c>
    </row>
    <row r="254" hidden="1">
      <c r="A254">
        <v>25</v>
      </c>
      <c r="B254">
        <v>2</v>
      </c>
      <c r="C254">
        <v>160</v>
      </c>
      <c r="D254" s="9">
        <v>0.2286</v>
      </c>
      <c r="E254" s="10">
        <v>14.41</v>
      </c>
      <c r="F254">
        <v>285</v>
      </c>
      <c r="G254" s="9">
        <v>0.40710000000000002</v>
      </c>
      <c r="H254" s="10">
        <v>17.640000000000001</v>
      </c>
    </row>
    <row r="255" hidden="1">
      <c r="A255">
        <v>25</v>
      </c>
      <c r="B255">
        <v>3</v>
      </c>
      <c r="C255">
        <v>166</v>
      </c>
      <c r="D255" s="9">
        <v>0.23710000000000001</v>
      </c>
      <c r="E255" s="10">
        <v>15.43</v>
      </c>
      <c r="F255">
        <v>294</v>
      </c>
      <c r="G255" s="9">
        <v>0.41999999999999998</v>
      </c>
      <c r="H255" s="10">
        <v>18.469999999999999</v>
      </c>
    </row>
    <row r="256" hidden="1">
      <c r="A256">
        <v>25</v>
      </c>
      <c r="B256">
        <v>4</v>
      </c>
      <c r="C256">
        <v>168</v>
      </c>
      <c r="D256" s="9">
        <v>0.23999999999999999</v>
      </c>
      <c r="E256" s="10">
        <v>15.24</v>
      </c>
      <c r="F256">
        <v>288</v>
      </c>
      <c r="G256" s="9">
        <v>0.41139999999999999</v>
      </c>
      <c r="H256" s="10">
        <v>18.27</v>
      </c>
    </row>
    <row r="257" hidden="1">
      <c r="A257">
        <v>25</v>
      </c>
      <c r="B257">
        <v>5</v>
      </c>
      <c r="C257">
        <v>159</v>
      </c>
      <c r="D257" s="9">
        <v>0.2271</v>
      </c>
      <c r="E257" s="10">
        <v>14.92</v>
      </c>
      <c r="F257">
        <v>350</v>
      </c>
      <c r="G257" s="9">
        <v>0.5</v>
      </c>
      <c r="H257" s="11">
        <v>19.699999999999999</v>
      </c>
    </row>
    <row r="258" hidden="1">
      <c r="A258">
        <v>25</v>
      </c>
      <c r="B258">
        <v>6</v>
      </c>
      <c r="C258">
        <v>215</v>
      </c>
      <c r="D258" s="9">
        <v>0.30709999999999998</v>
      </c>
      <c r="E258" s="10">
        <v>16.739999999999998</v>
      </c>
      <c r="F258">
        <v>347</v>
      </c>
      <c r="G258" s="9">
        <v>0.49569999999999997</v>
      </c>
      <c r="H258" s="10">
        <v>19.579999999999998</v>
      </c>
    </row>
    <row r="259" hidden="1">
      <c r="A259">
        <v>25</v>
      </c>
      <c r="B259">
        <v>7</v>
      </c>
      <c r="C259">
        <v>194</v>
      </c>
      <c r="D259" s="9">
        <v>0.27710000000000001</v>
      </c>
      <c r="E259" s="10">
        <v>15.789999999999999</v>
      </c>
      <c r="F259">
        <v>337</v>
      </c>
      <c r="G259" s="9">
        <v>0.48139999999999999</v>
      </c>
      <c r="H259" s="10">
        <v>19.870000000000001</v>
      </c>
    </row>
    <row r="260" hidden="1">
      <c r="A260">
        <v>25</v>
      </c>
      <c r="B260">
        <v>8</v>
      </c>
      <c r="C260">
        <v>145</v>
      </c>
      <c r="D260" s="9">
        <v>0.20710000000000001</v>
      </c>
      <c r="E260" s="10">
        <v>14.779999999999999</v>
      </c>
      <c r="F260">
        <v>299</v>
      </c>
      <c r="G260" s="9">
        <v>0.42709999999999998</v>
      </c>
      <c r="H260" s="11">
        <v>18.600000000000001</v>
      </c>
    </row>
    <row r="261" hidden="1">
      <c r="A261">
        <v>25</v>
      </c>
      <c r="B261">
        <v>9</v>
      </c>
      <c r="C261">
        <v>209</v>
      </c>
      <c r="D261" s="9">
        <v>0.29859999999999998</v>
      </c>
      <c r="E261" s="10">
        <v>16.550000000000001</v>
      </c>
      <c r="F261">
        <v>297</v>
      </c>
      <c r="G261" s="9">
        <v>0.42430000000000001</v>
      </c>
      <c r="H261" s="10">
        <v>18.649999999999999</v>
      </c>
    </row>
    <row r="262" hidden="1">
      <c r="A262">
        <v>26</v>
      </c>
      <c r="B262">
        <v>0</v>
      </c>
      <c r="C262">
        <v>167</v>
      </c>
      <c r="D262" s="9">
        <v>0.23860000000000001</v>
      </c>
      <c r="E262" s="10">
        <v>15.390000000000001</v>
      </c>
      <c r="F262">
        <v>273</v>
      </c>
      <c r="G262" s="9">
        <v>0.39000000000000001</v>
      </c>
      <c r="H262" s="10">
        <v>17.77</v>
      </c>
    </row>
    <row r="263" hidden="1">
      <c r="A263">
        <v>26</v>
      </c>
      <c r="B263">
        <v>1</v>
      </c>
      <c r="C263">
        <v>188</v>
      </c>
      <c r="D263" s="9">
        <v>0.26860000000000001</v>
      </c>
      <c r="E263" s="10">
        <v>16.75</v>
      </c>
      <c r="F263">
        <v>344</v>
      </c>
      <c r="G263" s="9">
        <v>0.4914</v>
      </c>
      <c r="H263" s="10">
        <v>19.989999999999998</v>
      </c>
    </row>
    <row r="264" hidden="1">
      <c r="A264">
        <v>26</v>
      </c>
      <c r="B264">
        <v>2</v>
      </c>
      <c r="C264">
        <v>192</v>
      </c>
      <c r="D264" s="9">
        <v>0.27429999999999999</v>
      </c>
      <c r="E264" s="10">
        <v>15.960000000000001</v>
      </c>
      <c r="F264">
        <v>282</v>
      </c>
      <c r="G264" s="9">
        <v>0.40289999999999998</v>
      </c>
      <c r="H264" s="10">
        <v>18.350000000000001</v>
      </c>
    </row>
    <row r="265" hidden="1">
      <c r="A265">
        <v>26</v>
      </c>
      <c r="B265">
        <v>3</v>
      </c>
      <c r="C265">
        <v>135</v>
      </c>
      <c r="D265" s="9">
        <v>0.19289999999999999</v>
      </c>
      <c r="E265" s="10">
        <v>14.32</v>
      </c>
      <c r="F265">
        <v>276</v>
      </c>
      <c r="G265" s="9">
        <v>0.39429999999999998</v>
      </c>
      <c r="H265" s="10">
        <v>17.710000000000001</v>
      </c>
    </row>
    <row r="266" hidden="1">
      <c r="A266">
        <v>26</v>
      </c>
      <c r="B266">
        <v>4</v>
      </c>
      <c r="C266">
        <v>116</v>
      </c>
      <c r="D266" s="9">
        <v>0.16569999999999999</v>
      </c>
      <c r="E266" s="11">
        <v>13.699999999999999</v>
      </c>
      <c r="F266">
        <v>296</v>
      </c>
      <c r="G266" s="9">
        <v>0.4229</v>
      </c>
      <c r="H266" s="10">
        <v>18.760000000000002</v>
      </c>
    </row>
    <row r="267" hidden="1">
      <c r="A267">
        <v>26</v>
      </c>
      <c r="B267">
        <v>5</v>
      </c>
      <c r="C267">
        <v>211</v>
      </c>
      <c r="D267" s="9">
        <v>0.3014</v>
      </c>
      <c r="E267" s="10">
        <v>17.210000000000001</v>
      </c>
      <c r="F267">
        <v>336</v>
      </c>
      <c r="G267" s="9">
        <v>0.47999999999999998</v>
      </c>
      <c r="H267" s="10">
        <v>19.84</v>
      </c>
    </row>
    <row r="268" hidden="1">
      <c r="A268">
        <v>26</v>
      </c>
      <c r="B268">
        <v>6</v>
      </c>
      <c r="C268">
        <v>162</v>
      </c>
      <c r="D268" s="9">
        <v>0.23139999999999999</v>
      </c>
      <c r="E268" s="10">
        <v>15.26</v>
      </c>
      <c r="F268">
        <v>298</v>
      </c>
      <c r="G268" s="9">
        <v>0.42570000000000002</v>
      </c>
      <c r="H268" s="10">
        <v>18.559999999999999</v>
      </c>
    </row>
    <row r="269" hidden="1">
      <c r="A269">
        <v>26</v>
      </c>
      <c r="B269">
        <v>7</v>
      </c>
      <c r="C269">
        <v>146</v>
      </c>
      <c r="D269" s="9">
        <v>0.20860000000000001</v>
      </c>
      <c r="E269" s="10">
        <v>14.859999999999999</v>
      </c>
      <c r="F269">
        <v>304</v>
      </c>
      <c r="G269" s="9">
        <v>0.43430000000000002</v>
      </c>
      <c r="H269" s="10">
        <v>18.420000000000002</v>
      </c>
    </row>
    <row r="270" hidden="1">
      <c r="A270">
        <v>26</v>
      </c>
      <c r="B270">
        <v>8</v>
      </c>
      <c r="C270">
        <v>165</v>
      </c>
      <c r="D270" s="9">
        <v>0.23569999999999999</v>
      </c>
      <c r="E270" s="10">
        <v>15.77</v>
      </c>
      <c r="F270">
        <v>322</v>
      </c>
      <c r="G270" s="9">
        <v>0.46000000000000002</v>
      </c>
      <c r="H270" s="10">
        <v>18.780000000000001</v>
      </c>
    </row>
    <row r="271" hidden="1">
      <c r="A271">
        <v>26</v>
      </c>
      <c r="B271">
        <v>9</v>
      </c>
      <c r="C271">
        <v>166</v>
      </c>
      <c r="D271" s="9">
        <v>0.23710000000000001</v>
      </c>
      <c r="E271" s="10">
        <v>15.32</v>
      </c>
      <c r="F271">
        <v>343</v>
      </c>
      <c r="G271" s="9">
        <v>0.48999999999999999</v>
      </c>
      <c r="H271" s="10">
        <v>19.969999999999999</v>
      </c>
    </row>
    <row r="272">
      <c r="A272">
        <v>27</v>
      </c>
      <c r="B272">
        <v>0</v>
      </c>
      <c r="C272">
        <v>146</v>
      </c>
      <c r="D272" s="9">
        <v>0.20860000000000001</v>
      </c>
      <c r="E272" s="10">
        <v>14.06</v>
      </c>
      <c r="F272">
        <v>282</v>
      </c>
      <c r="G272" s="9">
        <v>0.40289999999999998</v>
      </c>
      <c r="H272" s="10">
        <v>17.760000000000002</v>
      </c>
    </row>
    <row r="273">
      <c r="A273">
        <v>27</v>
      </c>
      <c r="B273">
        <v>1</v>
      </c>
      <c r="C273">
        <v>122</v>
      </c>
      <c r="D273" s="9">
        <v>0.17430000000000001</v>
      </c>
      <c r="E273" s="10">
        <v>13.49</v>
      </c>
      <c r="F273">
        <v>202</v>
      </c>
      <c r="G273" s="9">
        <v>0.28860000000000002</v>
      </c>
      <c r="H273" s="10">
        <v>15.640000000000001</v>
      </c>
    </row>
    <row r="274">
      <c r="A274">
        <v>27</v>
      </c>
      <c r="B274">
        <v>2</v>
      </c>
      <c r="C274">
        <v>140</v>
      </c>
      <c r="D274" s="9">
        <v>0.20000000000000001</v>
      </c>
      <c r="E274" s="10">
        <v>15.06</v>
      </c>
      <c r="F274">
        <v>316</v>
      </c>
      <c r="G274" s="9">
        <v>0.45140000000000002</v>
      </c>
      <c r="H274" s="10">
        <v>19.190000000000001</v>
      </c>
    </row>
    <row r="275">
      <c r="A275">
        <v>27</v>
      </c>
      <c r="B275">
        <v>3</v>
      </c>
      <c r="C275">
        <v>204</v>
      </c>
      <c r="D275" s="9">
        <v>0.29139999999999999</v>
      </c>
      <c r="E275" s="10">
        <v>16.449999999999999</v>
      </c>
      <c r="F275">
        <v>383</v>
      </c>
      <c r="G275" s="9">
        <v>0.54710000000000003</v>
      </c>
      <c r="H275" s="10">
        <v>20.460000000000001</v>
      </c>
    </row>
    <row r="276">
      <c r="A276">
        <v>27</v>
      </c>
      <c r="B276">
        <v>4</v>
      </c>
      <c r="C276">
        <v>161</v>
      </c>
      <c r="D276" s="9">
        <v>0.23000000000000001</v>
      </c>
      <c r="E276" s="10">
        <v>14.949999999999999</v>
      </c>
      <c r="F276">
        <v>289</v>
      </c>
      <c r="G276" s="9">
        <v>0.41289999999999999</v>
      </c>
      <c r="H276" s="10">
        <v>18.25</v>
      </c>
    </row>
    <row r="277">
      <c r="A277">
        <v>27</v>
      </c>
      <c r="B277">
        <v>5</v>
      </c>
      <c r="C277">
        <v>164</v>
      </c>
      <c r="D277" s="9">
        <v>0.23430000000000001</v>
      </c>
      <c r="E277" s="10">
        <v>15.460000000000001</v>
      </c>
      <c r="F277">
        <v>331</v>
      </c>
      <c r="G277" s="9">
        <v>0.47289999999999999</v>
      </c>
      <c r="H277" s="11">
        <v>19.300000000000001</v>
      </c>
    </row>
    <row r="278">
      <c r="A278">
        <v>27</v>
      </c>
      <c r="B278">
        <v>6</v>
      </c>
      <c r="C278">
        <v>184</v>
      </c>
      <c r="D278" s="9">
        <v>0.26290000000000002</v>
      </c>
      <c r="E278" s="10">
        <v>16.23</v>
      </c>
      <c r="F278">
        <v>345</v>
      </c>
      <c r="G278" s="9">
        <v>0.4929</v>
      </c>
      <c r="H278" s="10">
        <v>19.809999999999999</v>
      </c>
    </row>
    <row r="279">
      <c r="A279">
        <v>27</v>
      </c>
      <c r="B279">
        <v>7</v>
      </c>
      <c r="C279">
        <v>93</v>
      </c>
      <c r="D279" s="9">
        <v>0.13289999999999999</v>
      </c>
      <c r="E279" s="10">
        <v>12.44</v>
      </c>
      <c r="F279">
        <v>239</v>
      </c>
      <c r="G279" s="9">
        <v>0.34139999999999998</v>
      </c>
      <c r="H279" s="10">
        <v>16.390000000000001</v>
      </c>
    </row>
    <row r="280">
      <c r="A280">
        <v>27</v>
      </c>
      <c r="B280">
        <v>8</v>
      </c>
      <c r="C280">
        <v>172</v>
      </c>
      <c r="D280" s="9">
        <v>0.2457</v>
      </c>
      <c r="E280" s="10">
        <v>15.77</v>
      </c>
      <c r="F280">
        <v>339</v>
      </c>
      <c r="G280" s="9">
        <v>0.48430000000000001</v>
      </c>
      <c r="H280" s="10">
        <v>19.43</v>
      </c>
    </row>
    <row r="281">
      <c r="A281">
        <v>27</v>
      </c>
      <c r="B281">
        <v>9</v>
      </c>
      <c r="C281">
        <v>142</v>
      </c>
      <c r="D281" s="9">
        <v>0.2029</v>
      </c>
      <c r="E281" s="10">
        <v>14.039999999999999</v>
      </c>
      <c r="F281">
        <v>261</v>
      </c>
      <c r="G281" s="9">
        <v>0.37290000000000001</v>
      </c>
      <c r="H281" s="10">
        <v>17.559999999999999</v>
      </c>
    </row>
    <row r="282"/>
  </sheetData>
  <autoFilter ref="A1:H281">
    <filterColumn colId="0">
      <filters>
        <filter val="27"/>
      </filters>
    </filterColumn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  <c r="J1" s="2"/>
    </row>
    <row r="2" ht="14.25">
      <c r="A2" s="2">
        <v>27</v>
      </c>
      <c r="B2" s="2">
        <v>0</v>
      </c>
      <c r="C2" s="2">
        <v>146</v>
      </c>
      <c r="D2" s="9">
        <v>0.20860000000000001</v>
      </c>
      <c r="E2" s="10">
        <v>14.06</v>
      </c>
      <c r="F2" s="2">
        <v>282</v>
      </c>
      <c r="G2" s="9">
        <v>0.40289999999999998</v>
      </c>
      <c r="H2" s="10">
        <v>17.760000000000002</v>
      </c>
      <c r="I2" s="2"/>
      <c r="J2" s="2"/>
    </row>
    <row r="3" ht="14.25">
      <c r="A3" s="2">
        <v>27</v>
      </c>
      <c r="B3" s="2">
        <v>1</v>
      </c>
      <c r="C3" s="2">
        <v>122</v>
      </c>
      <c r="D3" s="9">
        <v>0.17430000000000001</v>
      </c>
      <c r="E3" s="10">
        <v>13.49</v>
      </c>
      <c r="F3" s="2">
        <v>202</v>
      </c>
      <c r="G3" s="9">
        <v>0.28860000000000002</v>
      </c>
      <c r="H3" s="10">
        <v>15.640000000000001</v>
      </c>
      <c r="I3" s="2"/>
      <c r="J3" s="2"/>
    </row>
    <row r="4" ht="14.25">
      <c r="A4" s="2">
        <v>27</v>
      </c>
      <c r="B4" s="2">
        <v>2</v>
      </c>
      <c r="C4" s="2">
        <v>140</v>
      </c>
      <c r="D4" s="9">
        <v>0.20000000000000001</v>
      </c>
      <c r="E4" s="10">
        <v>15.06</v>
      </c>
      <c r="F4" s="2">
        <v>316</v>
      </c>
      <c r="G4" s="9">
        <v>0.45140000000000002</v>
      </c>
      <c r="H4" s="10">
        <v>19.190000000000001</v>
      </c>
      <c r="I4" s="2"/>
      <c r="J4" s="2"/>
    </row>
    <row r="5" ht="14.25">
      <c r="A5" s="2">
        <v>27</v>
      </c>
      <c r="B5" s="2">
        <v>3</v>
      </c>
      <c r="C5" s="2">
        <v>204</v>
      </c>
      <c r="D5" s="9">
        <v>0.29139999999999999</v>
      </c>
      <c r="E5" s="10">
        <v>16.449999999999999</v>
      </c>
      <c r="F5" s="2">
        <v>383</v>
      </c>
      <c r="G5" s="9">
        <v>0.54710000000000003</v>
      </c>
      <c r="H5" s="10">
        <v>20.460000000000001</v>
      </c>
      <c r="I5" s="2"/>
      <c r="J5" s="2"/>
    </row>
    <row r="6" ht="14.25">
      <c r="A6" s="2">
        <v>27</v>
      </c>
      <c r="B6" s="2">
        <v>4</v>
      </c>
      <c r="C6" s="2">
        <v>161</v>
      </c>
      <c r="D6" s="9">
        <v>0.23000000000000001</v>
      </c>
      <c r="E6" s="10">
        <v>14.949999999999999</v>
      </c>
      <c r="F6" s="2">
        <v>289</v>
      </c>
      <c r="G6" s="9">
        <v>0.41289999999999999</v>
      </c>
      <c r="H6" s="10">
        <v>18.25</v>
      </c>
      <c r="I6" s="2"/>
      <c r="J6" s="2"/>
    </row>
    <row r="7" ht="14.25">
      <c r="A7" s="2">
        <v>27</v>
      </c>
      <c r="B7" s="2">
        <v>5</v>
      </c>
      <c r="C7" s="2">
        <v>164</v>
      </c>
      <c r="D7" s="9">
        <v>0.23430000000000001</v>
      </c>
      <c r="E7" s="10">
        <v>15.460000000000001</v>
      </c>
      <c r="F7" s="2">
        <v>331</v>
      </c>
      <c r="G7" s="9">
        <v>0.47289999999999999</v>
      </c>
      <c r="H7" s="11">
        <v>19.300000000000001</v>
      </c>
      <c r="I7" s="2"/>
      <c r="J7" s="2"/>
    </row>
    <row r="8" ht="14.25">
      <c r="A8" s="2">
        <v>27</v>
      </c>
      <c r="B8" s="2">
        <v>6</v>
      </c>
      <c r="C8" s="2">
        <v>184</v>
      </c>
      <c r="D8" s="9">
        <v>0.26290000000000002</v>
      </c>
      <c r="E8" s="10">
        <v>16.23</v>
      </c>
      <c r="F8" s="2">
        <v>345</v>
      </c>
      <c r="G8" s="9">
        <v>0.4929</v>
      </c>
      <c r="H8" s="10">
        <v>19.809999999999999</v>
      </c>
      <c r="I8" s="2"/>
      <c r="J8" s="2"/>
    </row>
    <row r="9" ht="14.25">
      <c r="A9" s="2">
        <v>27</v>
      </c>
      <c r="B9" s="2">
        <v>7</v>
      </c>
      <c r="C9" s="2">
        <v>93</v>
      </c>
      <c r="D9" s="9">
        <v>0.13289999999999999</v>
      </c>
      <c r="E9" s="10">
        <v>12.44</v>
      </c>
      <c r="F9" s="2">
        <v>239</v>
      </c>
      <c r="G9" s="9">
        <v>0.34139999999999998</v>
      </c>
      <c r="H9" s="10">
        <v>16.390000000000001</v>
      </c>
      <c r="I9" s="2"/>
      <c r="J9" s="2"/>
    </row>
    <row r="10" ht="14.25">
      <c r="A10" s="2">
        <v>27</v>
      </c>
      <c r="B10" s="2">
        <v>8</v>
      </c>
      <c r="C10" s="2">
        <v>172</v>
      </c>
      <c r="D10" s="9">
        <v>0.2457</v>
      </c>
      <c r="E10" s="10">
        <v>15.77</v>
      </c>
      <c r="F10" s="2">
        <v>339</v>
      </c>
      <c r="G10" s="9">
        <v>0.48430000000000001</v>
      </c>
      <c r="H10" s="10">
        <v>19.43</v>
      </c>
      <c r="I10" s="2"/>
      <c r="J10" s="2"/>
    </row>
    <row r="11" ht="14.25">
      <c r="A11" s="2">
        <v>27</v>
      </c>
      <c r="B11" s="2">
        <v>9</v>
      </c>
      <c r="C11" s="2">
        <v>142</v>
      </c>
      <c r="D11" s="9">
        <v>0.2029</v>
      </c>
      <c r="E11" s="10">
        <v>14.039999999999999</v>
      </c>
      <c r="F11" s="2">
        <v>261</v>
      </c>
      <c r="G11" s="9">
        <v>0.37290000000000001</v>
      </c>
      <c r="H11" s="10">
        <v>17.559999999999999</v>
      </c>
      <c r="I11" s="2"/>
      <c r="J11" s="2"/>
    </row>
    <row r="12" ht="14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27</v>
      </c>
      <c r="B17" s="4">
        <f>AVERAGE(D2:D11)</f>
        <v>0.21830000000000002</v>
      </c>
      <c r="C17" s="10">
        <f>AVERAGE(E2:E11)</f>
        <v>14.794999999999998</v>
      </c>
      <c r="D17" s="6">
        <f>STDEV(D2:D11)</f>
        <v>0.045180772705014936</v>
      </c>
      <c r="E17" s="6">
        <f>STDEV(E2:E11)</f>
        <v>1.2756109647276217</v>
      </c>
      <c r="F17" s="6">
        <f>CONFIDENCE(0.9,D17,10)</f>
        <v>0.0017953757892856389</v>
      </c>
      <c r="G17" s="6">
        <f>CONFIDENCE(0.9,E17,10)</f>
        <v>0.050689727189306422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27</v>
      </c>
      <c r="B22" s="4">
        <f>AVERAGE(G2:G11)</f>
        <v>0.42673000000000005</v>
      </c>
      <c r="C22" s="12">
        <f>AVERAGE(H2:H11)</f>
        <v>18.379000000000001</v>
      </c>
      <c r="D22" s="8">
        <f>STDEV(G2:G11)</f>
        <v>0.078130873823632901</v>
      </c>
      <c r="E22" s="8">
        <f>STDEV(H2:H11)</f>
        <v>1.5462388057620478</v>
      </c>
      <c r="F22" s="8">
        <f>CONFIDENCE(0.9,D22,10)</f>
        <v>0.0031047339578393609</v>
      </c>
      <c r="G22" s="8">
        <f>CONFIDENCE(0.9,E22,10)</f>
        <v>0.061443829977059758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  <c r="J1" s="2"/>
    </row>
    <row r="2" ht="14.25">
      <c r="A2" s="2">
        <v>26</v>
      </c>
      <c r="B2" s="2">
        <v>0</v>
      </c>
      <c r="C2" s="2">
        <v>167</v>
      </c>
      <c r="D2" s="9">
        <v>0.23899999999999999</v>
      </c>
      <c r="E2" s="10">
        <v>15.390000000000001</v>
      </c>
      <c r="F2" s="2">
        <v>273</v>
      </c>
      <c r="G2" s="9">
        <v>0.39000000000000001</v>
      </c>
      <c r="H2" s="10">
        <v>17.77</v>
      </c>
      <c r="I2" s="2"/>
      <c r="J2" s="2"/>
    </row>
    <row r="3" ht="14.25">
      <c r="A3" s="2">
        <v>26</v>
      </c>
      <c r="B3" s="2">
        <v>1</v>
      </c>
      <c r="C3" s="2">
        <v>188</v>
      </c>
      <c r="D3" s="9">
        <v>0.26899999999999996</v>
      </c>
      <c r="E3" s="10">
        <v>16.75</v>
      </c>
      <c r="F3" s="2">
        <v>344</v>
      </c>
      <c r="G3" s="9">
        <v>0.49099999999999999</v>
      </c>
      <c r="H3" s="10">
        <v>19.989999999999998</v>
      </c>
      <c r="I3" s="2"/>
      <c r="J3" s="2"/>
    </row>
    <row r="4" ht="14.25">
      <c r="A4" s="2">
        <v>26</v>
      </c>
      <c r="B4" s="2">
        <v>2</v>
      </c>
      <c r="C4" s="2">
        <v>192</v>
      </c>
      <c r="D4" s="9">
        <v>0.27399999999999997</v>
      </c>
      <c r="E4" s="10">
        <v>15.960000000000001</v>
      </c>
      <c r="F4" s="2">
        <v>282</v>
      </c>
      <c r="G4" s="9">
        <v>0.40299999999999997</v>
      </c>
      <c r="H4" s="10">
        <v>18.350000000000001</v>
      </c>
      <c r="I4" s="2"/>
      <c r="J4" s="2"/>
    </row>
    <row r="5" ht="14.25">
      <c r="A5" s="2">
        <v>26</v>
      </c>
      <c r="B5" s="2">
        <v>3</v>
      </c>
      <c r="C5" s="2">
        <v>135</v>
      </c>
      <c r="D5" s="9">
        <v>0.193</v>
      </c>
      <c r="E5" s="10">
        <v>14.32</v>
      </c>
      <c r="F5" s="2">
        <v>276</v>
      </c>
      <c r="G5" s="9">
        <v>0.39399999999999996</v>
      </c>
      <c r="H5" s="10">
        <v>17.710000000000001</v>
      </c>
      <c r="I5" s="2"/>
      <c r="J5" s="2"/>
    </row>
    <row r="6" ht="14.25">
      <c r="A6" s="2">
        <v>26</v>
      </c>
      <c r="B6" s="2">
        <v>4</v>
      </c>
      <c r="C6" s="2">
        <v>116</v>
      </c>
      <c r="D6" s="9">
        <v>0.16600000000000001</v>
      </c>
      <c r="E6" s="11">
        <v>13.699999999999999</v>
      </c>
      <c r="F6" s="2">
        <v>296</v>
      </c>
      <c r="G6" s="9">
        <v>0.42299999999999999</v>
      </c>
      <c r="H6" s="10">
        <v>18.760000000000002</v>
      </c>
      <c r="I6" s="2"/>
      <c r="J6" s="2"/>
    </row>
    <row r="7" ht="14.25">
      <c r="A7" s="2">
        <v>26</v>
      </c>
      <c r="B7" s="2">
        <v>5</v>
      </c>
      <c r="C7" s="2">
        <v>211</v>
      </c>
      <c r="D7" s="9">
        <v>0.30099999999999999</v>
      </c>
      <c r="E7" s="10">
        <v>17.210000000000001</v>
      </c>
      <c r="F7" s="2">
        <v>336</v>
      </c>
      <c r="G7" s="9">
        <v>0.47999999999999998</v>
      </c>
      <c r="H7" s="10">
        <v>19.84</v>
      </c>
      <c r="I7" s="2"/>
      <c r="J7" s="2"/>
    </row>
    <row r="8" ht="14.25">
      <c r="A8" s="2">
        <v>26</v>
      </c>
      <c r="B8" s="2">
        <v>6</v>
      </c>
      <c r="C8" s="2">
        <v>162</v>
      </c>
      <c r="D8" s="9">
        <v>0.23100000000000001</v>
      </c>
      <c r="E8" s="10">
        <v>15.26</v>
      </c>
      <c r="F8" s="2">
        <v>298</v>
      </c>
      <c r="G8" s="9">
        <v>0.42599999999999999</v>
      </c>
      <c r="H8" s="10">
        <v>18.559999999999999</v>
      </c>
      <c r="I8" s="2"/>
      <c r="J8" s="2"/>
    </row>
    <row r="9" ht="14.25">
      <c r="A9" s="2">
        <v>26</v>
      </c>
      <c r="B9" s="2">
        <v>7</v>
      </c>
      <c r="C9" s="2">
        <v>146</v>
      </c>
      <c r="D9" s="9">
        <v>0.20899999999999999</v>
      </c>
      <c r="E9" s="11">
        <v>14.859999999999999</v>
      </c>
      <c r="F9" s="2">
        <v>304</v>
      </c>
      <c r="G9" s="9">
        <v>0.434</v>
      </c>
      <c r="H9" s="11">
        <v>18.420000000000002</v>
      </c>
      <c r="I9" s="2"/>
      <c r="J9" s="2"/>
    </row>
    <row r="10" ht="14.25">
      <c r="A10" s="2">
        <v>26</v>
      </c>
      <c r="B10" s="2">
        <v>8</v>
      </c>
      <c r="C10" s="2">
        <v>165</v>
      </c>
      <c r="D10" s="9">
        <v>0.23600000000000002</v>
      </c>
      <c r="E10" s="10">
        <v>15.77</v>
      </c>
      <c r="F10" s="2">
        <v>322</v>
      </c>
      <c r="G10" s="9">
        <v>0.46000000000000002</v>
      </c>
      <c r="H10" s="10">
        <v>18.780000000000001</v>
      </c>
      <c r="I10" s="2"/>
      <c r="J10" s="2"/>
    </row>
    <row r="11" ht="14.25">
      <c r="A11" s="2">
        <v>26</v>
      </c>
      <c r="B11" s="2">
        <v>9</v>
      </c>
      <c r="C11" s="2">
        <v>166</v>
      </c>
      <c r="D11" s="9">
        <v>0.23699999999999999</v>
      </c>
      <c r="E11" s="10">
        <v>15.32</v>
      </c>
      <c r="F11" s="2">
        <v>343</v>
      </c>
      <c r="G11" s="9">
        <v>0.48999999999999999</v>
      </c>
      <c r="H11" s="10">
        <v>19.969999999999999</v>
      </c>
      <c r="I11" s="2"/>
      <c r="J11" s="2"/>
    </row>
    <row r="12" ht="14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26</v>
      </c>
      <c r="B17" s="4">
        <f>AVERAGE(D2:D11)</f>
        <v>0.23550000000000004</v>
      </c>
      <c r="C17" s="10">
        <f>AVERAGE(E2:E11)</f>
        <v>15.454000000000002</v>
      </c>
      <c r="D17" s="6">
        <f>STDEV(D2:D11)</f>
        <v>0.039816942234291275</v>
      </c>
      <c r="E17" s="6">
        <f>STDEV(E2:E11)</f>
        <v>1.0484930985837619</v>
      </c>
      <c r="F17" s="6">
        <f>CONFIDENCE(0.9,D17,10)</f>
        <v>0.0015822300020755646</v>
      </c>
      <c r="G17" s="6">
        <f>CONFIDENCE(0.9,E17,10)</f>
        <v>0.041664606683927324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26</v>
      </c>
      <c r="B22" s="4">
        <f>AVERAGE(G2:G11)</f>
        <v>0.43909999999999999</v>
      </c>
      <c r="C22" s="12">
        <f>AVERAGE(H2:H11)</f>
        <v>18.814999999999998</v>
      </c>
      <c r="D22" s="8">
        <f>STDEV(G2:G11)</f>
        <v>0.038871440530148731</v>
      </c>
      <c r="E22" s="8">
        <f>STDEV(H2:H11)</f>
        <v>0.851133231508309</v>
      </c>
      <c r="F22" s="8">
        <f>CONFIDENCE(0.9,D22,10)</f>
        <v>0.001544658026947361</v>
      </c>
      <c r="G22" s="8">
        <f>CONFIDENCE(0.9,E22,10)</f>
        <v>0.033821997850356632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  <c r="J1" s="2"/>
    </row>
    <row r="2" ht="14.25">
      <c r="A2" s="2">
        <v>25</v>
      </c>
      <c r="B2" s="2">
        <v>0</v>
      </c>
      <c r="C2" s="2">
        <v>210</v>
      </c>
      <c r="D2" s="9">
        <v>0.29999999999999999</v>
      </c>
      <c r="E2" s="10">
        <v>16.5</v>
      </c>
      <c r="F2" s="2">
        <v>349</v>
      </c>
      <c r="G2" s="9">
        <v>0.499</v>
      </c>
      <c r="H2" s="10">
        <v>20.309999999999999</v>
      </c>
      <c r="I2" s="2"/>
      <c r="J2" s="2"/>
    </row>
    <row r="3" ht="14.25">
      <c r="A3" s="2">
        <v>25</v>
      </c>
      <c r="B3" s="2">
        <v>1</v>
      </c>
      <c r="C3" s="2">
        <v>120</v>
      </c>
      <c r="D3" s="9">
        <v>0.17100000000000001</v>
      </c>
      <c r="E3" s="10">
        <v>14.32</v>
      </c>
      <c r="F3" s="2">
        <v>268</v>
      </c>
      <c r="G3" s="9">
        <v>0.38299999999999995</v>
      </c>
      <c r="H3" s="10">
        <v>18.030000000000001</v>
      </c>
      <c r="I3" s="2"/>
      <c r="J3" s="2"/>
    </row>
    <row r="4" ht="14.25">
      <c r="A4" s="2">
        <v>25</v>
      </c>
      <c r="B4" s="2">
        <v>2</v>
      </c>
      <c r="C4" s="2">
        <v>160</v>
      </c>
      <c r="D4" s="9">
        <v>0.22899999999999998</v>
      </c>
      <c r="E4" s="10">
        <v>14.41</v>
      </c>
      <c r="F4" s="2">
        <v>285</v>
      </c>
      <c r="G4" s="9">
        <v>0.40700000000000003</v>
      </c>
      <c r="H4" s="10">
        <v>17.640000000000001</v>
      </c>
      <c r="I4" s="2"/>
      <c r="J4" s="2"/>
    </row>
    <row r="5" ht="14.25">
      <c r="A5" s="2">
        <v>25</v>
      </c>
      <c r="B5" s="2">
        <v>3</v>
      </c>
      <c r="C5" s="2">
        <v>166</v>
      </c>
      <c r="D5" s="9">
        <v>0.23699999999999999</v>
      </c>
      <c r="E5" s="10">
        <v>15.43</v>
      </c>
      <c r="F5" s="2">
        <v>294</v>
      </c>
      <c r="G5" s="9">
        <v>0.41999999999999998</v>
      </c>
      <c r="H5" s="10">
        <v>18.469999999999999</v>
      </c>
      <c r="I5" s="2"/>
      <c r="J5" s="2"/>
    </row>
    <row r="6" ht="14.25">
      <c r="A6" s="2">
        <v>25</v>
      </c>
      <c r="B6" s="2">
        <v>4</v>
      </c>
      <c r="C6" s="2">
        <v>168</v>
      </c>
      <c r="D6" s="9">
        <v>0.23999999999999999</v>
      </c>
      <c r="E6" s="11">
        <v>15.24</v>
      </c>
      <c r="F6" s="2">
        <v>288</v>
      </c>
      <c r="G6" s="9">
        <v>0.41100000000000003</v>
      </c>
      <c r="H6" s="10">
        <v>18.27</v>
      </c>
      <c r="I6" s="2"/>
      <c r="J6" s="2"/>
    </row>
    <row r="7" ht="14.25">
      <c r="A7" s="2">
        <v>25</v>
      </c>
      <c r="B7" s="2">
        <v>5</v>
      </c>
      <c r="C7" s="2">
        <v>159</v>
      </c>
      <c r="D7" s="9">
        <v>0.22699999999999998</v>
      </c>
      <c r="E7" s="10">
        <v>14.92</v>
      </c>
      <c r="F7" s="2">
        <v>350</v>
      </c>
      <c r="G7" s="9">
        <v>0.5</v>
      </c>
      <c r="H7" s="10">
        <v>19.699999999999999</v>
      </c>
      <c r="I7" s="2"/>
      <c r="J7" s="2"/>
    </row>
    <row r="8" ht="14.25">
      <c r="A8" s="2">
        <v>25</v>
      </c>
      <c r="B8" s="2">
        <v>6</v>
      </c>
      <c r="C8" s="2">
        <v>215</v>
      </c>
      <c r="D8" s="9">
        <v>0.307</v>
      </c>
      <c r="E8" s="10">
        <v>16.739999999999998</v>
      </c>
      <c r="F8" s="2">
        <v>347</v>
      </c>
      <c r="G8" s="9">
        <v>0.496</v>
      </c>
      <c r="H8" s="10">
        <v>19.579999999999998</v>
      </c>
      <c r="I8" s="2"/>
      <c r="J8" s="2"/>
    </row>
    <row r="9" ht="14.25">
      <c r="A9" s="2">
        <v>25</v>
      </c>
      <c r="B9" s="2">
        <v>7</v>
      </c>
      <c r="C9" s="2">
        <v>194</v>
      </c>
      <c r="D9" s="9">
        <v>0.27699999999999997</v>
      </c>
      <c r="E9" s="11">
        <v>15.789999999999999</v>
      </c>
      <c r="F9" s="2">
        <v>337</v>
      </c>
      <c r="G9" s="9">
        <v>0.48100000000000004</v>
      </c>
      <c r="H9" s="11">
        <v>19.870000000000001</v>
      </c>
      <c r="I9" s="2"/>
      <c r="J9" s="2"/>
    </row>
    <row r="10" ht="14.25">
      <c r="A10" s="2">
        <v>25</v>
      </c>
      <c r="B10" s="2">
        <v>8</v>
      </c>
      <c r="C10" s="2">
        <v>145</v>
      </c>
      <c r="D10" s="9">
        <v>0.20699999999999999</v>
      </c>
      <c r="E10" s="10">
        <v>14.779999999999999</v>
      </c>
      <c r="F10" s="2">
        <v>299</v>
      </c>
      <c r="G10" s="9">
        <v>0.42700000000000005</v>
      </c>
      <c r="H10" s="10">
        <v>18.600000000000001</v>
      </c>
      <c r="I10" s="2"/>
      <c r="J10" s="2"/>
    </row>
    <row r="11" ht="14.25">
      <c r="A11" s="2">
        <v>25</v>
      </c>
      <c r="B11" s="2">
        <v>9</v>
      </c>
      <c r="C11" s="2">
        <v>209</v>
      </c>
      <c r="D11" s="9">
        <v>0.29899999999999999</v>
      </c>
      <c r="E11" s="10">
        <v>16.550000000000001</v>
      </c>
      <c r="F11" s="2">
        <v>297</v>
      </c>
      <c r="G11" s="9">
        <v>0.42399999999999999</v>
      </c>
      <c r="H11" s="10">
        <v>18.649999999999999</v>
      </c>
      <c r="I11" s="2"/>
      <c r="J11" s="2"/>
    </row>
    <row r="12" ht="14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25</v>
      </c>
      <c r="B17" s="4">
        <f>AVERAGE(D2:D11)</f>
        <v>0.24939999999999998</v>
      </c>
      <c r="C17" s="10">
        <f>AVERAGE(E2:E11)</f>
        <v>15.468</v>
      </c>
      <c r="D17" s="6">
        <f>STDEV(D2:D11)</f>
        <v>0.04497456071059628</v>
      </c>
      <c r="E17" s="6">
        <f>STDEV(E2:E11)</f>
        <v>0.8957777502136216</v>
      </c>
      <c r="F17" s="6">
        <f>CONFIDENCE(0.9,D17,10)</f>
        <v>0.0017871814180946729</v>
      </c>
      <c r="G17" s="6">
        <f>CONFIDENCE(0.9,E17,10)</f>
        <v>0.035596064188954939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25</v>
      </c>
      <c r="B22" s="4">
        <f>AVERAGE(G2:G11)</f>
        <v>0.44480000000000003</v>
      </c>
      <c r="C22" s="12">
        <f>AVERAGE(H2:H11)</f>
        <v>18.911999999999999</v>
      </c>
      <c r="D22" s="8">
        <f>STDEV(G2:G11)</f>
        <v>0.044311523457348109</v>
      </c>
      <c r="E22" s="8">
        <f>STDEV(H2:H11)</f>
        <v>0.88874193229655907</v>
      </c>
      <c r="F22" s="8">
        <f>CONFIDENCE(0.9,D22,10)</f>
        <v>0.0017608339043049387</v>
      </c>
      <c r="G22" s="8">
        <f>CONFIDENCE(0.9,E22,10)</f>
        <v>0.035316477621708954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  <c r="J1" s="2"/>
    </row>
    <row r="2" ht="14.25">
      <c r="A2" s="2">
        <v>24</v>
      </c>
      <c r="B2" s="2">
        <v>0</v>
      </c>
      <c r="C2" s="2">
        <v>106</v>
      </c>
      <c r="D2" s="9">
        <v>0.151</v>
      </c>
      <c r="E2" s="10">
        <v>13.85</v>
      </c>
      <c r="F2" s="2">
        <v>247</v>
      </c>
      <c r="G2" s="9">
        <v>0.35299999999999998</v>
      </c>
      <c r="H2" s="10">
        <v>17.41</v>
      </c>
      <c r="I2" s="2"/>
      <c r="J2" s="2"/>
    </row>
    <row r="3" ht="14.25">
      <c r="A3" s="2">
        <v>24</v>
      </c>
      <c r="B3" s="2">
        <v>1</v>
      </c>
      <c r="C3" s="2">
        <v>109</v>
      </c>
      <c r="D3" s="9">
        <v>0.156</v>
      </c>
      <c r="E3" s="10">
        <v>13.869999999999999</v>
      </c>
      <c r="F3" s="2">
        <v>247</v>
      </c>
      <c r="G3" s="9">
        <v>0.35299999999999998</v>
      </c>
      <c r="H3" s="10">
        <v>17.59</v>
      </c>
      <c r="I3" s="2"/>
      <c r="J3" s="2"/>
    </row>
    <row r="4" ht="14.25">
      <c r="A4" s="2">
        <v>24</v>
      </c>
      <c r="B4" s="2">
        <v>2</v>
      </c>
      <c r="C4" s="2">
        <v>158</v>
      </c>
      <c r="D4" s="9">
        <v>0.22600000000000001</v>
      </c>
      <c r="E4" s="10">
        <v>15.15</v>
      </c>
      <c r="F4" s="2">
        <v>285</v>
      </c>
      <c r="G4" s="9">
        <v>0.40700000000000003</v>
      </c>
      <c r="H4" s="10">
        <v>18.440000000000001</v>
      </c>
      <c r="I4" s="2"/>
      <c r="J4" s="2"/>
    </row>
    <row r="5" ht="14.25">
      <c r="A5" s="2">
        <v>24</v>
      </c>
      <c r="B5" s="2">
        <v>3</v>
      </c>
      <c r="C5" s="2">
        <v>150</v>
      </c>
      <c r="D5" s="9">
        <v>0.214</v>
      </c>
      <c r="E5" s="10">
        <v>15.15</v>
      </c>
      <c r="F5" s="2">
        <v>313</v>
      </c>
      <c r="G5" s="9">
        <v>0.44700000000000001</v>
      </c>
      <c r="H5" s="10">
        <v>18.75</v>
      </c>
      <c r="I5" s="2"/>
      <c r="J5" s="2"/>
    </row>
    <row r="6" ht="14.25">
      <c r="A6" s="2">
        <v>24</v>
      </c>
      <c r="B6" s="2">
        <v>4</v>
      </c>
      <c r="C6" s="2">
        <v>136</v>
      </c>
      <c r="D6" s="9">
        <v>0.19399999999999998</v>
      </c>
      <c r="E6" s="11">
        <v>15.1</v>
      </c>
      <c r="F6" s="2">
        <v>298</v>
      </c>
      <c r="G6" s="9">
        <v>0.42599999999999999</v>
      </c>
      <c r="H6" s="10">
        <v>19</v>
      </c>
      <c r="I6" s="2"/>
      <c r="J6" s="2"/>
    </row>
    <row r="7" ht="14.25">
      <c r="A7" s="2">
        <v>24</v>
      </c>
      <c r="B7" s="2">
        <v>5</v>
      </c>
      <c r="C7" s="2">
        <v>156</v>
      </c>
      <c r="D7" s="9">
        <v>0.223</v>
      </c>
      <c r="E7" s="10">
        <v>14.970000000000001</v>
      </c>
      <c r="F7" s="2">
        <v>329</v>
      </c>
      <c r="G7" s="9">
        <v>0.46999999999999997</v>
      </c>
      <c r="H7" s="10">
        <v>19.469999999999999</v>
      </c>
      <c r="I7" s="2"/>
      <c r="J7" s="2"/>
    </row>
    <row r="8" ht="14.25">
      <c r="A8" s="2">
        <v>24</v>
      </c>
      <c r="B8" s="2">
        <v>6</v>
      </c>
      <c r="C8" s="2">
        <v>138</v>
      </c>
      <c r="D8" s="9">
        <v>0.19699999999999998</v>
      </c>
      <c r="E8" s="10">
        <v>14.84</v>
      </c>
      <c r="F8" s="2">
        <v>309</v>
      </c>
      <c r="G8" s="9">
        <v>0.441</v>
      </c>
      <c r="H8" s="10">
        <v>18.989999999999998</v>
      </c>
      <c r="I8" s="2"/>
      <c r="J8" s="2"/>
    </row>
    <row r="9" ht="14.25">
      <c r="A9" s="2">
        <v>24</v>
      </c>
      <c r="B9" s="2">
        <v>7</v>
      </c>
      <c r="C9" s="2">
        <v>157</v>
      </c>
      <c r="D9" s="9">
        <v>0.22399999999999998</v>
      </c>
      <c r="E9" s="11">
        <v>16.07</v>
      </c>
      <c r="F9" s="2">
        <v>295</v>
      </c>
      <c r="G9" s="9">
        <v>0.42100000000000004</v>
      </c>
      <c r="H9" s="11">
        <v>18.920000000000002</v>
      </c>
      <c r="I9" s="2"/>
      <c r="J9" s="2"/>
    </row>
    <row r="10" ht="14.25">
      <c r="A10" s="2">
        <v>24</v>
      </c>
      <c r="B10" s="2">
        <v>8</v>
      </c>
      <c r="C10" s="2">
        <v>150</v>
      </c>
      <c r="D10" s="9">
        <v>0.214</v>
      </c>
      <c r="E10" s="10">
        <v>15.859999999999999</v>
      </c>
      <c r="F10" s="2">
        <v>307</v>
      </c>
      <c r="G10" s="9">
        <v>0.439</v>
      </c>
      <c r="H10" s="10">
        <v>19.289999999999999</v>
      </c>
      <c r="I10" s="2"/>
      <c r="J10" s="2"/>
    </row>
    <row r="11" ht="14.25">
      <c r="A11" s="2">
        <v>24</v>
      </c>
      <c r="B11" s="2">
        <v>9</v>
      </c>
      <c r="C11" s="2">
        <v>148</v>
      </c>
      <c r="D11" s="9">
        <v>0.21100000000000002</v>
      </c>
      <c r="E11" s="10">
        <v>14.81</v>
      </c>
      <c r="F11" s="2">
        <v>243</v>
      </c>
      <c r="G11" s="9">
        <v>0.34700000000000003</v>
      </c>
      <c r="H11" s="10">
        <v>17.32</v>
      </c>
      <c r="I11" s="2"/>
      <c r="J11" s="2"/>
    </row>
    <row r="12" ht="14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24</v>
      </c>
      <c r="B17" s="4">
        <f>AVERAGE(D2:D11)</f>
        <v>0.20099999999999998</v>
      </c>
      <c r="C17" s="10">
        <f>AVERAGE(E2:E11)</f>
        <v>14.967000000000002</v>
      </c>
      <c r="D17" s="6">
        <f>STDEV(D2:D11)</f>
        <v>0.0272151918359336</v>
      </c>
      <c r="E17" s="6">
        <f>STDEV(E2:E11)</f>
        <v>0.71419029521394228</v>
      </c>
      <c r="F17" s="6">
        <f>CONFIDENCE(0.9,D17,10)</f>
        <v>0.0010814665973513968</v>
      </c>
      <c r="G17" s="6">
        <f>CONFIDENCE(0.9,E17,10)</f>
        <v>0.028380213267745862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24</v>
      </c>
      <c r="B22" s="4">
        <f>AVERAGE(G2:G11)</f>
        <v>0.41039999999999999</v>
      </c>
      <c r="C22" s="12">
        <f>AVERAGE(H2:H11)</f>
        <v>18.517999999999997</v>
      </c>
      <c r="D22" s="8">
        <f>STDEV(G2:G11)</f>
        <v>0.044249795981952771</v>
      </c>
      <c r="E22" s="8">
        <f>STDEV(H2:H11)</f>
        <v>0.7960290335296959</v>
      </c>
      <c r="F22" s="8">
        <f>CONFIDENCE(0.9,D22,10)</f>
        <v>0.001758381002147154</v>
      </c>
      <c r="G22" s="8">
        <f>CONFIDENCE(0.9,E22,10)</f>
        <v>0.03163228888754769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  <c r="J1" s="2"/>
    </row>
    <row r="2" ht="14.25">
      <c r="A2" s="2">
        <v>23</v>
      </c>
      <c r="B2" s="2">
        <v>0</v>
      </c>
      <c r="C2" s="2">
        <v>133</v>
      </c>
      <c r="D2" s="9">
        <v>0.19</v>
      </c>
      <c r="E2" s="10">
        <v>14.970000000000001</v>
      </c>
      <c r="F2" s="2">
        <v>264</v>
      </c>
      <c r="G2" s="9">
        <v>0.37709999999999999</v>
      </c>
      <c r="H2" s="10">
        <v>18.390000000000001</v>
      </c>
      <c r="I2" s="2"/>
      <c r="J2" s="2"/>
    </row>
    <row r="3" ht="14.25">
      <c r="A3" s="2">
        <v>23</v>
      </c>
      <c r="B3" s="2">
        <v>1</v>
      </c>
      <c r="C3" s="2">
        <v>133</v>
      </c>
      <c r="D3" s="9">
        <v>0.19</v>
      </c>
      <c r="E3" s="10">
        <v>14.99</v>
      </c>
      <c r="F3" s="2">
        <v>268</v>
      </c>
      <c r="G3" s="9">
        <v>0.38290000000000002</v>
      </c>
      <c r="H3" s="10">
        <v>18.960000000000001</v>
      </c>
      <c r="I3" s="2"/>
      <c r="J3" s="2"/>
    </row>
    <row r="4" ht="14.25">
      <c r="A4" s="2">
        <v>23</v>
      </c>
      <c r="B4" s="2">
        <v>2</v>
      </c>
      <c r="C4" s="2">
        <v>166</v>
      </c>
      <c r="D4" s="9">
        <v>0.23710000000000001</v>
      </c>
      <c r="E4" s="10">
        <v>15.48</v>
      </c>
      <c r="F4" s="2">
        <v>320</v>
      </c>
      <c r="G4" s="9">
        <v>0.45710000000000001</v>
      </c>
      <c r="H4" s="10">
        <v>19.059999999999999</v>
      </c>
      <c r="I4" s="2"/>
      <c r="J4" s="2"/>
    </row>
    <row r="5" ht="14.25">
      <c r="A5" s="2">
        <v>23</v>
      </c>
      <c r="B5" s="2">
        <v>3</v>
      </c>
      <c r="C5" s="2">
        <v>148</v>
      </c>
      <c r="D5" s="9">
        <v>0.2114</v>
      </c>
      <c r="E5" s="10">
        <v>15.220000000000001</v>
      </c>
      <c r="F5" s="2">
        <v>259</v>
      </c>
      <c r="G5" s="9">
        <v>0.37</v>
      </c>
      <c r="H5" s="10">
        <v>18.34</v>
      </c>
      <c r="I5" s="2"/>
      <c r="J5" s="2"/>
    </row>
    <row r="6" ht="14.25">
      <c r="A6" s="2">
        <v>23</v>
      </c>
      <c r="B6" s="2">
        <v>4</v>
      </c>
      <c r="C6" s="2">
        <v>125</v>
      </c>
      <c r="D6" s="9">
        <v>0.17860000000000001</v>
      </c>
      <c r="E6" s="11">
        <v>14.199999999999999</v>
      </c>
      <c r="F6" s="2">
        <v>224</v>
      </c>
      <c r="G6" s="9">
        <v>0.32000000000000001</v>
      </c>
      <c r="H6" s="10">
        <v>17.370000000000001</v>
      </c>
      <c r="I6" s="2"/>
      <c r="J6" s="2"/>
    </row>
    <row r="7" ht="14.25">
      <c r="A7" s="2">
        <v>23</v>
      </c>
      <c r="B7" s="2">
        <v>5</v>
      </c>
      <c r="C7" s="2">
        <v>176</v>
      </c>
      <c r="D7" s="9">
        <v>0.25140000000000001</v>
      </c>
      <c r="E7" s="10">
        <v>15.890000000000001</v>
      </c>
      <c r="F7" s="2">
        <v>317</v>
      </c>
      <c r="G7" s="9">
        <v>0.45290000000000002</v>
      </c>
      <c r="H7" s="10">
        <v>19.18</v>
      </c>
      <c r="I7" s="2"/>
      <c r="J7" s="2"/>
    </row>
    <row r="8" ht="14.25">
      <c r="A8" s="2">
        <v>23</v>
      </c>
      <c r="B8" s="2">
        <v>6</v>
      </c>
      <c r="C8" s="2">
        <v>145</v>
      </c>
      <c r="D8" s="9">
        <v>0.20710000000000001</v>
      </c>
      <c r="E8" s="10">
        <v>15.48</v>
      </c>
      <c r="F8" s="2">
        <v>328</v>
      </c>
      <c r="G8" s="9">
        <v>0.46860000000000002</v>
      </c>
      <c r="H8" s="10">
        <v>19.640000000000001</v>
      </c>
      <c r="I8" s="2"/>
      <c r="J8" s="2"/>
    </row>
    <row r="9" ht="14.25">
      <c r="A9" s="2">
        <v>23</v>
      </c>
      <c r="B9" s="2">
        <v>7</v>
      </c>
      <c r="C9" s="2">
        <v>171</v>
      </c>
      <c r="D9" s="9">
        <v>0.24429999999999999</v>
      </c>
      <c r="E9" s="11">
        <v>16.199999999999999</v>
      </c>
      <c r="F9" s="2">
        <v>298</v>
      </c>
      <c r="G9" s="9">
        <v>0.42570000000000002</v>
      </c>
      <c r="H9" s="11">
        <v>19.100000000000001</v>
      </c>
      <c r="I9" s="2"/>
      <c r="J9" s="2"/>
    </row>
    <row r="10" ht="14.25">
      <c r="A10" s="2">
        <v>23</v>
      </c>
      <c r="B10" s="2">
        <v>8</v>
      </c>
      <c r="C10" s="2">
        <v>141</v>
      </c>
      <c r="D10" s="9">
        <v>0.2014</v>
      </c>
      <c r="E10" s="10">
        <v>15.07</v>
      </c>
      <c r="F10" s="2">
        <v>272</v>
      </c>
      <c r="G10" s="9">
        <v>0.3886</v>
      </c>
      <c r="H10" s="10">
        <v>18.07</v>
      </c>
      <c r="I10" s="2"/>
      <c r="J10" s="2"/>
    </row>
    <row r="11" ht="14.25">
      <c r="A11" s="2">
        <v>23</v>
      </c>
      <c r="B11" s="2">
        <v>9</v>
      </c>
      <c r="C11" s="2">
        <v>152</v>
      </c>
      <c r="D11" s="9">
        <v>0.21709999999999999</v>
      </c>
      <c r="E11" s="10">
        <v>15.75</v>
      </c>
      <c r="F11" s="2">
        <v>293</v>
      </c>
      <c r="G11" s="9">
        <v>0.41860000000000003</v>
      </c>
      <c r="H11" s="10">
        <v>19.239999999999998</v>
      </c>
      <c r="I11" s="2"/>
      <c r="J11" s="2"/>
    </row>
    <row r="12" ht="14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23</v>
      </c>
      <c r="B17" s="4">
        <f>AVERAGE(D2:D11)</f>
        <v>0.21284</v>
      </c>
      <c r="C17" s="10">
        <f>AVERAGE(E2:E11)</f>
        <v>15.324999999999999</v>
      </c>
      <c r="D17" s="6">
        <f>STDEV(D2:D11)</f>
        <v>0.024641663003043351</v>
      </c>
      <c r="E17" s="6">
        <f>STDEV(E2:E11)</f>
        <v>0.56700480107706719</v>
      </c>
      <c r="F17" s="6">
        <f>CONFIDENCE(0.9,D17,10)</f>
        <v>0.00097920072001090523</v>
      </c>
      <c r="G17" s="6">
        <f>CONFIDENCE(0.9,E17,10)</f>
        <v>0.022531413947010529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23</v>
      </c>
      <c r="B22" s="4">
        <f>AVERAGE(G2:G11)</f>
        <v>0.40614999999999996</v>
      </c>
      <c r="C22" s="12">
        <f>AVERAGE(H2:H11)</f>
        <v>18.734999999999999</v>
      </c>
      <c r="D22" s="8">
        <f>STDEV(G2:G11)</f>
        <v>0.046714005751309039</v>
      </c>
      <c r="E22" s="8">
        <f>STDEV(H2:H11)</f>
        <v>0.67840089753609367</v>
      </c>
      <c r="F22" s="8">
        <f>CONFIDENCE(0.9,D22,10)</f>
        <v>0.0018563028015043466</v>
      </c>
      <c r="G22" s="8">
        <f>CONFIDENCE(0.9,E22,10)</f>
        <v>0.026958028248391538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  <c r="J1" s="2"/>
    </row>
    <row r="2" ht="14.25">
      <c r="A2" s="2">
        <v>22</v>
      </c>
      <c r="B2" s="2">
        <v>0</v>
      </c>
      <c r="C2" s="2">
        <v>171</v>
      </c>
      <c r="D2" s="9">
        <v>0.24429999999999999</v>
      </c>
      <c r="E2" s="11">
        <v>15.300000000000001</v>
      </c>
      <c r="F2" s="2">
        <v>347</v>
      </c>
      <c r="G2" s="9">
        <v>0.49569999999999997</v>
      </c>
      <c r="H2" s="11">
        <v>19.399999999999999</v>
      </c>
      <c r="I2" s="2"/>
      <c r="J2" s="2"/>
    </row>
    <row r="3" ht="14.25">
      <c r="A3" s="2">
        <v>22</v>
      </c>
      <c r="B3" s="2">
        <v>1</v>
      </c>
      <c r="C3" s="2">
        <v>136</v>
      </c>
      <c r="D3" s="9">
        <v>0.1943</v>
      </c>
      <c r="E3" s="10">
        <v>14.77</v>
      </c>
      <c r="F3" s="2">
        <v>281</v>
      </c>
      <c r="G3" s="9">
        <v>0.40139999999999998</v>
      </c>
      <c r="H3" s="10">
        <v>18.16</v>
      </c>
      <c r="I3" s="2"/>
      <c r="J3" s="2"/>
    </row>
    <row r="4" ht="14.25">
      <c r="A4" s="2">
        <v>22</v>
      </c>
      <c r="B4" s="2">
        <v>2</v>
      </c>
      <c r="C4" s="2">
        <v>142</v>
      </c>
      <c r="D4" s="9">
        <v>0.2029</v>
      </c>
      <c r="E4" s="10">
        <v>14.17</v>
      </c>
      <c r="F4" s="2">
        <v>269</v>
      </c>
      <c r="G4" s="9">
        <v>0.38429999999999997</v>
      </c>
      <c r="H4" s="10">
        <v>18.010000000000002</v>
      </c>
      <c r="I4" s="2"/>
      <c r="J4" s="2"/>
    </row>
    <row r="5" ht="14.25">
      <c r="A5" s="2">
        <v>22</v>
      </c>
      <c r="B5" s="2">
        <v>3</v>
      </c>
      <c r="C5" s="2">
        <v>145</v>
      </c>
      <c r="D5" s="9">
        <v>0.20710000000000001</v>
      </c>
      <c r="E5" s="10">
        <v>14.49</v>
      </c>
      <c r="F5" s="2">
        <v>278</v>
      </c>
      <c r="G5" s="9">
        <v>0.39710000000000001</v>
      </c>
      <c r="H5" s="10">
        <v>18.309999999999999</v>
      </c>
      <c r="I5" s="2"/>
      <c r="J5" s="2"/>
    </row>
    <row r="6" ht="14.25">
      <c r="A6" s="2">
        <v>22</v>
      </c>
      <c r="B6" s="2">
        <v>4</v>
      </c>
      <c r="C6" s="2">
        <v>151</v>
      </c>
      <c r="D6" s="9">
        <v>0.2157</v>
      </c>
      <c r="E6" s="11">
        <v>15.1</v>
      </c>
      <c r="F6" s="2">
        <v>269</v>
      </c>
      <c r="G6" s="9">
        <v>0.38429999999999997</v>
      </c>
      <c r="H6" s="10">
        <v>18.149999999999999</v>
      </c>
      <c r="I6" s="2"/>
      <c r="J6" s="2"/>
    </row>
    <row r="7" ht="14.25">
      <c r="A7" s="2">
        <v>22</v>
      </c>
      <c r="B7" s="2">
        <v>5</v>
      </c>
      <c r="C7" s="2">
        <v>150</v>
      </c>
      <c r="D7" s="9">
        <v>0.21429999999999999</v>
      </c>
      <c r="E7" s="10">
        <v>14.19</v>
      </c>
      <c r="F7" s="2">
        <v>277</v>
      </c>
      <c r="G7" s="9">
        <v>0.3957</v>
      </c>
      <c r="H7" s="10">
        <v>17.68</v>
      </c>
      <c r="I7" s="2"/>
      <c r="J7" s="2"/>
    </row>
    <row r="8" ht="14.25">
      <c r="A8" s="2">
        <v>22</v>
      </c>
      <c r="B8" s="2">
        <v>6</v>
      </c>
      <c r="C8" s="2">
        <v>197</v>
      </c>
      <c r="D8" s="9">
        <v>0.28139999999999998</v>
      </c>
      <c r="E8" s="10">
        <v>16.32</v>
      </c>
      <c r="F8" s="2">
        <v>315</v>
      </c>
      <c r="G8" s="9">
        <v>0.45000000000000001</v>
      </c>
      <c r="H8" s="10">
        <v>19.329999999999998</v>
      </c>
      <c r="I8" s="2"/>
      <c r="J8" s="2"/>
    </row>
    <row r="9" ht="14.25">
      <c r="A9" s="2">
        <v>22</v>
      </c>
      <c r="B9" s="2">
        <v>7</v>
      </c>
      <c r="C9" s="2">
        <v>113</v>
      </c>
      <c r="D9" s="9">
        <v>0.16139999999999999</v>
      </c>
      <c r="E9" s="10">
        <v>13.85</v>
      </c>
      <c r="F9" s="2">
        <v>238</v>
      </c>
      <c r="G9" s="9">
        <v>0.34000000000000002</v>
      </c>
      <c r="H9" s="10">
        <v>17.27</v>
      </c>
      <c r="I9" s="2"/>
      <c r="J9" s="2"/>
    </row>
    <row r="10" ht="14.25">
      <c r="A10" s="2">
        <v>22</v>
      </c>
      <c r="B10" s="2">
        <v>8</v>
      </c>
      <c r="C10" s="2">
        <v>172</v>
      </c>
      <c r="D10" s="9">
        <v>0.2457</v>
      </c>
      <c r="E10" s="10">
        <v>16.219999999999999</v>
      </c>
      <c r="F10" s="2">
        <v>340</v>
      </c>
      <c r="G10" s="9">
        <v>0.48570000000000002</v>
      </c>
      <c r="H10" s="10">
        <v>20.039999999999999</v>
      </c>
      <c r="I10" s="2"/>
      <c r="J10" s="2"/>
    </row>
    <row r="11" ht="14.25">
      <c r="A11" s="2">
        <v>22</v>
      </c>
      <c r="B11" s="2">
        <v>9</v>
      </c>
      <c r="C11" s="2">
        <v>164</v>
      </c>
      <c r="D11" s="9">
        <v>0.23430000000000001</v>
      </c>
      <c r="E11" s="10">
        <v>15.119999999999999</v>
      </c>
      <c r="F11" s="2">
        <v>318</v>
      </c>
      <c r="G11" s="9">
        <v>0.45429999999999998</v>
      </c>
      <c r="H11" s="10">
        <v>18.91</v>
      </c>
      <c r="I11" s="2"/>
      <c r="J11" s="2"/>
    </row>
    <row r="12" ht="14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22</v>
      </c>
      <c r="B17" s="4">
        <f>AVERAGE(D2:D11)</f>
        <v>0.22014</v>
      </c>
      <c r="C17" s="10">
        <f>AVERAGE(E2:E11)</f>
        <v>14.952999999999999</v>
      </c>
      <c r="D17" s="6">
        <f>STDEV(D2:D11)</f>
        <v>0.033047918071928355</v>
      </c>
      <c r="E17" s="6">
        <f>STDEV(E2:E11)</f>
        <v>0.83689970194230023</v>
      </c>
      <c r="F17" s="6">
        <f>CONFIDENCE(0.9,D17,10)</f>
        <v>0.0013132451802013926</v>
      </c>
      <c r="G17" s="6">
        <f>CONFIDENCE(0.9,E17,10)</f>
        <v>0.033256391446372817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22</v>
      </c>
      <c r="B22" s="4">
        <f>AVERAGE(G2:G11)</f>
        <v>0.41885000000000006</v>
      </c>
      <c r="C22" s="12">
        <f>AVERAGE(H2:H11)</f>
        <v>18.526000000000003</v>
      </c>
      <c r="D22" s="8">
        <f>STDEV(G2:G11)</f>
        <v>0.050022311688552201</v>
      </c>
      <c r="E22" s="8">
        <f>STDEV(H2:H11)</f>
        <v>0.86483395965802423</v>
      </c>
      <c r="F22" s="8">
        <f>CONFIDENCE(0.9,D22,10)</f>
        <v>0.0019877669626433398</v>
      </c>
      <c r="G22" s="8">
        <f>CONFIDENCE(0.9,E22,10)</f>
        <v>0.034366432001055706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  <c r="J1" s="2"/>
    </row>
    <row r="2" ht="14.25">
      <c r="A2" s="2">
        <v>21</v>
      </c>
      <c r="B2" s="2">
        <v>0</v>
      </c>
      <c r="C2" s="2">
        <v>116</v>
      </c>
      <c r="D2" s="9">
        <v>0.16569999999999999</v>
      </c>
      <c r="E2" s="10">
        <v>14.25</v>
      </c>
      <c r="F2" s="2">
        <v>248</v>
      </c>
      <c r="G2" s="9">
        <v>0.3543</v>
      </c>
      <c r="H2" s="10">
        <v>17.66</v>
      </c>
      <c r="I2" s="2"/>
      <c r="J2" s="2"/>
    </row>
    <row r="3" ht="14.25">
      <c r="A3" s="2">
        <v>21</v>
      </c>
      <c r="B3" s="2">
        <v>1</v>
      </c>
      <c r="C3" s="2">
        <v>123</v>
      </c>
      <c r="D3" s="9">
        <v>0.1757</v>
      </c>
      <c r="E3" s="10">
        <v>14.25</v>
      </c>
      <c r="F3" s="2">
        <v>220</v>
      </c>
      <c r="G3" s="9">
        <v>0.31430000000000002</v>
      </c>
      <c r="H3" s="10">
        <v>16.859999999999999</v>
      </c>
      <c r="I3" s="2"/>
      <c r="J3" s="2"/>
    </row>
    <row r="4" ht="14.25">
      <c r="A4" s="2">
        <v>21</v>
      </c>
      <c r="B4" s="2">
        <v>2</v>
      </c>
      <c r="C4" s="2">
        <v>159</v>
      </c>
      <c r="D4" s="9">
        <v>0.2271</v>
      </c>
      <c r="E4" s="11">
        <v>15.699999999999999</v>
      </c>
      <c r="F4" s="2">
        <v>288</v>
      </c>
      <c r="G4" s="9">
        <v>0.41139999999999999</v>
      </c>
      <c r="H4" s="10">
        <v>18.66</v>
      </c>
      <c r="I4" s="2"/>
      <c r="J4" s="2"/>
    </row>
    <row r="5" ht="14.25">
      <c r="A5" s="2">
        <v>21</v>
      </c>
      <c r="B5" s="2">
        <v>3</v>
      </c>
      <c r="C5" s="2">
        <v>169</v>
      </c>
      <c r="D5" s="9">
        <v>0.2414</v>
      </c>
      <c r="E5" s="10">
        <v>15.93</v>
      </c>
      <c r="F5" s="2">
        <v>278</v>
      </c>
      <c r="G5" s="9">
        <v>0.39710000000000001</v>
      </c>
      <c r="H5" s="10">
        <v>18.620000000000001</v>
      </c>
      <c r="I5" s="2"/>
      <c r="J5" s="2"/>
    </row>
    <row r="6" ht="14.25">
      <c r="A6" s="2">
        <v>21</v>
      </c>
      <c r="B6" s="2">
        <v>4</v>
      </c>
      <c r="C6" s="2">
        <v>112</v>
      </c>
      <c r="D6" s="9">
        <v>0.16</v>
      </c>
      <c r="E6" s="10">
        <v>14.07</v>
      </c>
      <c r="F6" s="2">
        <v>251</v>
      </c>
      <c r="G6" s="9">
        <v>0.35859999999999997</v>
      </c>
      <c r="H6" s="11">
        <v>17.600000000000001</v>
      </c>
      <c r="I6" s="2"/>
      <c r="J6" s="2"/>
    </row>
    <row r="7" ht="14.25">
      <c r="A7" s="2">
        <v>21</v>
      </c>
      <c r="B7" s="2">
        <v>5</v>
      </c>
      <c r="C7" s="2">
        <v>127</v>
      </c>
      <c r="D7" s="9">
        <v>0.18140000000000001</v>
      </c>
      <c r="E7" s="10">
        <v>13.73</v>
      </c>
      <c r="F7" s="2">
        <v>223</v>
      </c>
      <c r="G7" s="9">
        <v>0.31859999999999999</v>
      </c>
      <c r="H7" s="10">
        <v>17.370000000000001</v>
      </c>
      <c r="I7" s="2"/>
      <c r="J7" s="2"/>
    </row>
    <row r="8" ht="14.25">
      <c r="A8" s="2">
        <v>21</v>
      </c>
      <c r="B8" s="2">
        <v>6</v>
      </c>
      <c r="C8" s="2">
        <v>156</v>
      </c>
      <c r="D8" s="9">
        <v>0.22289999999999999</v>
      </c>
      <c r="E8" s="10">
        <v>15.25</v>
      </c>
      <c r="F8" s="2">
        <v>288</v>
      </c>
      <c r="G8" s="9">
        <v>0.41139999999999999</v>
      </c>
      <c r="H8" s="10">
        <v>18.850000000000001</v>
      </c>
      <c r="I8" s="2"/>
      <c r="J8" s="2"/>
    </row>
    <row r="9" ht="14.25">
      <c r="A9" s="2">
        <v>21</v>
      </c>
      <c r="B9" s="2">
        <v>7</v>
      </c>
      <c r="C9" s="2">
        <v>123</v>
      </c>
      <c r="D9" s="9">
        <v>0.1757</v>
      </c>
      <c r="E9" s="10">
        <v>13.869999999999999</v>
      </c>
      <c r="F9" s="2">
        <v>254</v>
      </c>
      <c r="G9" s="9">
        <v>0.3629</v>
      </c>
      <c r="H9" s="10">
        <v>17.260000000000002</v>
      </c>
      <c r="I9" s="2"/>
      <c r="J9" s="2"/>
    </row>
    <row r="10" ht="14.25">
      <c r="A10" s="2">
        <v>21</v>
      </c>
      <c r="B10" s="2">
        <v>8</v>
      </c>
      <c r="C10" s="2">
        <v>107</v>
      </c>
      <c r="D10" s="9">
        <v>0.15290000000000001</v>
      </c>
      <c r="E10" s="10">
        <v>13.18</v>
      </c>
      <c r="F10" s="2">
        <v>225</v>
      </c>
      <c r="G10" s="9">
        <v>0.32140000000000002</v>
      </c>
      <c r="H10" s="10">
        <v>16.489999999999998</v>
      </c>
      <c r="I10" s="2"/>
      <c r="J10" s="2"/>
    </row>
    <row r="11" ht="14.25">
      <c r="A11" s="2">
        <v>21</v>
      </c>
      <c r="B11" s="2">
        <v>9</v>
      </c>
      <c r="C11" s="2">
        <v>137</v>
      </c>
      <c r="D11" s="9">
        <v>0.19570000000000001</v>
      </c>
      <c r="E11" s="10">
        <v>14.91</v>
      </c>
      <c r="F11" s="2">
        <v>264</v>
      </c>
      <c r="G11" s="9">
        <v>0.37709999999999999</v>
      </c>
      <c r="H11" s="10">
        <v>17.890000000000001</v>
      </c>
      <c r="I11" s="2"/>
      <c r="J11" s="2"/>
    </row>
    <row r="12" ht="14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21</v>
      </c>
      <c r="B17" s="4">
        <f>AVERAGE(D2:D11)</f>
        <v>0.18985000000000002</v>
      </c>
      <c r="C17" s="10">
        <f>AVERAGE(E2:E11)</f>
        <v>14.514000000000001</v>
      </c>
      <c r="D17" s="6">
        <f>STDEV(D2:D11)</f>
        <v>0.030700859560894671</v>
      </c>
      <c r="E17" s="6">
        <f>STDEV(E2:E11)</f>
        <v>0.89787650722258128</v>
      </c>
      <c r="F17" s="6">
        <f>CONFIDENCE(0.9,D17,10)</f>
        <v>0.0012199786915058828</v>
      </c>
      <c r="G17" s="6">
        <f>CONFIDENCE(0.9,E17,10)</f>
        <v>0.035679463770145844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21</v>
      </c>
      <c r="B22" s="4">
        <f>AVERAGE(G2:G11)</f>
        <v>0.36271000000000003</v>
      </c>
      <c r="C22" s="12">
        <f>AVERAGE(H2:H11)</f>
        <v>17.725999999999999</v>
      </c>
      <c r="D22" s="8">
        <f>STDEV(G2:G11)</f>
        <v>0.03683984708618282</v>
      </c>
      <c r="E22" s="8">
        <f>STDEV(H2:H11)</f>
        <v>0.7890669595583556</v>
      </c>
      <c r="F22" s="8">
        <f>CONFIDENCE(0.9,D22,10)</f>
        <v>0.0014639273651062684</v>
      </c>
      <c r="G22" s="8">
        <f>CONFIDENCE(0.9,E22,10)</f>
        <v>0.031355632728234759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20</v>
      </c>
      <c r="B2" s="2">
        <v>0</v>
      </c>
      <c r="C2" s="2">
        <v>129</v>
      </c>
      <c r="D2" s="9">
        <v>0.184</v>
      </c>
      <c r="E2" s="10">
        <v>14.119999999999999</v>
      </c>
      <c r="F2" s="2">
        <v>238</v>
      </c>
      <c r="G2" s="9">
        <v>0.34000000000000002</v>
      </c>
      <c r="H2" s="10">
        <v>16.960000000000001</v>
      </c>
      <c r="I2" s="2"/>
    </row>
    <row r="3" ht="14.25">
      <c r="A3" s="2">
        <v>20</v>
      </c>
      <c r="B3" s="2">
        <v>1</v>
      </c>
      <c r="C3" s="2">
        <v>118</v>
      </c>
      <c r="D3" s="9">
        <v>0.16899999999999998</v>
      </c>
      <c r="E3" s="10">
        <v>13.82</v>
      </c>
      <c r="F3" s="2">
        <v>221</v>
      </c>
      <c r="G3" s="9">
        <v>0.316</v>
      </c>
      <c r="H3" s="10">
        <v>16.739999999999998</v>
      </c>
      <c r="I3" s="2"/>
    </row>
    <row r="4" ht="14.25">
      <c r="A4" s="2">
        <v>20</v>
      </c>
      <c r="B4" s="2">
        <v>2</v>
      </c>
      <c r="C4" s="2">
        <v>127</v>
      </c>
      <c r="D4" s="9">
        <v>0.18100000000000002</v>
      </c>
      <c r="E4" s="10">
        <v>14.539999999999999</v>
      </c>
      <c r="F4" s="2">
        <v>262</v>
      </c>
      <c r="G4" s="9">
        <v>0.374</v>
      </c>
      <c r="H4" s="10">
        <v>18.25</v>
      </c>
      <c r="I4" s="2"/>
    </row>
    <row r="5" ht="14.25">
      <c r="A5" s="2">
        <v>20</v>
      </c>
      <c r="B5" s="2">
        <v>3</v>
      </c>
      <c r="C5" s="2">
        <v>131</v>
      </c>
      <c r="D5" s="9">
        <v>0.187</v>
      </c>
      <c r="E5" s="10">
        <v>15.109999999999999</v>
      </c>
      <c r="F5" s="2">
        <v>302</v>
      </c>
      <c r="G5" s="9">
        <v>0.43099999999999999</v>
      </c>
      <c r="H5" s="10">
        <v>18.989999999999998</v>
      </c>
      <c r="I5" s="2"/>
    </row>
    <row r="6" ht="14.25">
      <c r="A6" s="2">
        <v>20</v>
      </c>
      <c r="B6" s="2">
        <v>4</v>
      </c>
      <c r="C6" s="2">
        <v>140</v>
      </c>
      <c r="D6" s="9">
        <v>0.20000000000000001</v>
      </c>
      <c r="E6" s="10">
        <v>15.06</v>
      </c>
      <c r="F6" s="2">
        <v>271</v>
      </c>
      <c r="G6" s="9">
        <v>0.38700000000000001</v>
      </c>
      <c r="H6" s="10">
        <v>18.109999999999999</v>
      </c>
      <c r="I6" s="2"/>
    </row>
    <row r="7" ht="14.25">
      <c r="A7" s="2">
        <v>20</v>
      </c>
      <c r="B7" s="2">
        <v>5</v>
      </c>
      <c r="C7" s="2">
        <v>152</v>
      </c>
      <c r="D7" s="9">
        <v>0.217</v>
      </c>
      <c r="E7" s="11">
        <v>14.34</v>
      </c>
      <c r="F7" s="2">
        <v>209</v>
      </c>
      <c r="G7" s="9">
        <v>0.29899999999999999</v>
      </c>
      <c r="H7" s="11">
        <v>16.18</v>
      </c>
      <c r="I7" s="2"/>
    </row>
    <row r="8" ht="14.25">
      <c r="A8" s="2">
        <v>20</v>
      </c>
      <c r="B8" s="2">
        <v>6</v>
      </c>
      <c r="C8" s="2">
        <v>128</v>
      </c>
      <c r="D8" s="9">
        <v>0.183</v>
      </c>
      <c r="E8" s="10">
        <v>14.76</v>
      </c>
      <c r="F8" s="2">
        <v>246</v>
      </c>
      <c r="G8" s="9">
        <v>0.35100000000000003</v>
      </c>
      <c r="H8" s="10">
        <v>17.73</v>
      </c>
      <c r="I8" s="2"/>
    </row>
    <row r="9" ht="14.25">
      <c r="A9" s="2">
        <v>20</v>
      </c>
      <c r="B9" s="2">
        <v>7</v>
      </c>
      <c r="C9" s="2">
        <v>123</v>
      </c>
      <c r="D9" s="9">
        <v>0.17600000000000002</v>
      </c>
      <c r="E9" s="10">
        <v>14.029999999999999</v>
      </c>
      <c r="F9" s="2">
        <v>239</v>
      </c>
      <c r="G9" s="9">
        <v>0.34100000000000003</v>
      </c>
      <c r="H9" s="10">
        <v>17.170000000000002</v>
      </c>
      <c r="I9" s="2"/>
    </row>
    <row r="10" ht="14.25">
      <c r="A10" s="2">
        <v>20</v>
      </c>
      <c r="B10" s="2">
        <v>8</v>
      </c>
      <c r="C10" s="2">
        <v>102</v>
      </c>
      <c r="D10" s="9">
        <v>0.14599999999999999</v>
      </c>
      <c r="E10" s="10">
        <v>13.699999999999999</v>
      </c>
      <c r="F10" s="2">
        <v>196</v>
      </c>
      <c r="G10" s="9">
        <v>0.28000000000000003</v>
      </c>
      <c r="H10" s="10">
        <v>16.699999999999999</v>
      </c>
      <c r="I10" s="2"/>
    </row>
    <row r="11" ht="14.25">
      <c r="A11" s="2">
        <v>20</v>
      </c>
      <c r="B11" s="2">
        <v>9</v>
      </c>
      <c r="C11" s="2">
        <v>138</v>
      </c>
      <c r="D11" s="9">
        <v>0.19699999999999998</v>
      </c>
      <c r="E11" s="10">
        <v>14.35</v>
      </c>
      <c r="F11" s="2">
        <v>257</v>
      </c>
      <c r="G11" s="9">
        <v>0.36700000000000005</v>
      </c>
      <c r="H11" s="10">
        <v>17.920000000000002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20</v>
      </c>
      <c r="B17" s="4">
        <f>AVERAGE(D2:D11)</f>
        <v>0.184</v>
      </c>
      <c r="C17" s="10">
        <f>AVERAGE(E2:E11)</f>
        <v>14.382999999999999</v>
      </c>
      <c r="D17" s="6">
        <f>STDEV(D2:D11)</f>
        <v>0.019049642749639398</v>
      </c>
      <c r="E17" s="6">
        <f>STDEV(E2:E11)</f>
        <v>0.48691888441505338</v>
      </c>
      <c r="F17" s="6">
        <f>CONFIDENCE(0.9,D17,10)</f>
        <v>0.0007569872168974002</v>
      </c>
      <c r="G17" s="6">
        <f>CONFIDENCE(0.9,E17,10)</f>
        <v>0.019348991265209711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20</v>
      </c>
      <c r="B22" s="4">
        <f>AVERAGE(G2:G11)</f>
        <v>0.34860000000000008</v>
      </c>
      <c r="C22" s="12">
        <f>AVERAGE(H2:H11)</f>
        <v>17.475000000000001</v>
      </c>
      <c r="D22" s="8">
        <f>STDEV(G2:G11)</f>
        <v>0.044239750853226505</v>
      </c>
      <c r="E22" s="8">
        <f>STDEV(H2:H11)</f>
        <v>0.86527131262075496</v>
      </c>
      <c r="F22" s="8">
        <f>CONFIDENCE(0.9,D22,10)</f>
        <v>0.0017579818327696593</v>
      </c>
      <c r="G22" s="8">
        <f>CONFIDENCE(0.9,E22,10)</f>
        <v>0.0343838113612049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19</v>
      </c>
      <c r="B2" s="2">
        <v>0</v>
      </c>
      <c r="C2" s="2">
        <v>101</v>
      </c>
      <c r="D2" s="9">
        <v>0.14400000000000002</v>
      </c>
      <c r="E2" s="10">
        <v>14.199999999999999</v>
      </c>
      <c r="F2" s="2">
        <v>234</v>
      </c>
      <c r="G2" s="9">
        <v>0.33399999999999996</v>
      </c>
      <c r="H2" s="10">
        <v>17.25</v>
      </c>
      <c r="I2" s="2"/>
    </row>
    <row r="3" ht="14.25">
      <c r="A3" s="2">
        <v>19</v>
      </c>
      <c r="B3" s="2">
        <v>1</v>
      </c>
      <c r="C3" s="2">
        <v>110</v>
      </c>
      <c r="D3" s="9">
        <v>0.157</v>
      </c>
      <c r="E3" s="10">
        <v>13.83</v>
      </c>
      <c r="F3" s="2">
        <v>240</v>
      </c>
      <c r="G3" s="9">
        <v>0.34299999999999997</v>
      </c>
      <c r="H3" s="10">
        <v>17.41</v>
      </c>
      <c r="I3" s="2"/>
    </row>
    <row r="4" ht="14.25">
      <c r="A4" s="2">
        <v>19</v>
      </c>
      <c r="B4" s="2">
        <v>2</v>
      </c>
      <c r="C4" s="2">
        <v>111</v>
      </c>
      <c r="D4" s="9">
        <v>0.159</v>
      </c>
      <c r="E4" s="10">
        <v>14.02</v>
      </c>
      <c r="F4" s="2">
        <v>223</v>
      </c>
      <c r="G4" s="9">
        <v>0.31900000000000001</v>
      </c>
      <c r="H4" s="10">
        <v>16.68</v>
      </c>
      <c r="I4" s="2"/>
    </row>
    <row r="5" ht="14.25">
      <c r="A5" s="2">
        <v>19</v>
      </c>
      <c r="B5" s="2">
        <v>3</v>
      </c>
      <c r="C5" s="2">
        <v>97</v>
      </c>
      <c r="D5" s="9">
        <v>0.13900000000000001</v>
      </c>
      <c r="E5" s="10">
        <v>13.65</v>
      </c>
      <c r="F5" s="2">
        <v>212</v>
      </c>
      <c r="G5" s="9">
        <v>0.30299999999999999</v>
      </c>
      <c r="H5" s="10">
        <v>16.550000000000001</v>
      </c>
      <c r="I5" s="2"/>
    </row>
    <row r="6" ht="14.25">
      <c r="A6" s="2">
        <v>19</v>
      </c>
      <c r="B6" s="2">
        <v>4</v>
      </c>
      <c r="C6" s="2">
        <v>78</v>
      </c>
      <c r="D6" s="9">
        <v>0.111</v>
      </c>
      <c r="E6" s="10">
        <v>12.470000000000001</v>
      </c>
      <c r="F6" s="2">
        <v>209</v>
      </c>
      <c r="G6" s="9">
        <v>0.29899999999999999</v>
      </c>
      <c r="H6" s="10">
        <v>16.16</v>
      </c>
      <c r="I6" s="2"/>
    </row>
    <row r="7" ht="14.25">
      <c r="A7" s="2">
        <v>19</v>
      </c>
      <c r="B7" s="2">
        <v>5</v>
      </c>
      <c r="C7" s="2">
        <v>123</v>
      </c>
      <c r="D7" s="9">
        <v>0.17600000000000002</v>
      </c>
      <c r="E7" s="11">
        <v>14.140000000000001</v>
      </c>
      <c r="F7" s="2">
        <v>241</v>
      </c>
      <c r="G7" s="9">
        <v>0.34399999999999997</v>
      </c>
      <c r="H7" s="11">
        <v>16.98</v>
      </c>
      <c r="I7" s="2"/>
    </row>
    <row r="8" ht="14.25">
      <c r="A8" s="2">
        <v>19</v>
      </c>
      <c r="B8" s="2">
        <v>6</v>
      </c>
      <c r="C8" s="2">
        <v>111</v>
      </c>
      <c r="D8" s="9">
        <v>0.159</v>
      </c>
      <c r="E8" s="10">
        <v>13.26</v>
      </c>
      <c r="F8" s="2">
        <v>207</v>
      </c>
      <c r="G8" s="9">
        <v>0.29600000000000004</v>
      </c>
      <c r="H8" s="10">
        <v>16.460000000000001</v>
      </c>
      <c r="I8" s="2"/>
    </row>
    <row r="9" ht="14.25">
      <c r="A9" s="2">
        <v>19</v>
      </c>
      <c r="B9" s="2">
        <v>7</v>
      </c>
      <c r="C9" s="2">
        <v>90</v>
      </c>
      <c r="D9" s="9">
        <v>0.129</v>
      </c>
      <c r="E9" s="10">
        <v>13.08</v>
      </c>
      <c r="F9" s="2">
        <v>163</v>
      </c>
      <c r="G9" s="9">
        <v>0.23300000000000001</v>
      </c>
      <c r="H9" s="10">
        <v>15.390000000000001</v>
      </c>
      <c r="I9" s="2"/>
    </row>
    <row r="10" ht="14.25">
      <c r="A10" s="2">
        <v>19</v>
      </c>
      <c r="B10" s="2">
        <v>8</v>
      </c>
      <c r="C10" s="2">
        <v>93</v>
      </c>
      <c r="D10" s="9">
        <v>0.13300000000000001</v>
      </c>
      <c r="E10" s="10">
        <v>13.59</v>
      </c>
      <c r="F10" s="2">
        <v>220</v>
      </c>
      <c r="G10" s="9">
        <v>0.314</v>
      </c>
      <c r="H10" s="10">
        <v>16.890000000000001</v>
      </c>
      <c r="I10" s="2"/>
    </row>
    <row r="11" ht="14.25">
      <c r="A11" s="2">
        <v>19</v>
      </c>
      <c r="B11" s="2">
        <v>9</v>
      </c>
      <c r="C11" s="2">
        <v>148</v>
      </c>
      <c r="D11" s="9">
        <v>0.21100000000000002</v>
      </c>
      <c r="E11" s="10">
        <v>14.710000000000001</v>
      </c>
      <c r="F11" s="2">
        <v>282</v>
      </c>
      <c r="G11" s="9">
        <v>0.40299999999999997</v>
      </c>
      <c r="H11" s="10">
        <v>18.559999999999999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19</v>
      </c>
      <c r="B17" s="4">
        <f>AVERAGE(D2:D11)</f>
        <v>0.15180000000000002</v>
      </c>
      <c r="C17" s="10">
        <f>AVERAGE(E2:E11)</f>
        <v>13.695000000000002</v>
      </c>
      <c r="D17" s="6">
        <f>STDEV(D2:D11)</f>
        <v>0.027855978811658293</v>
      </c>
      <c r="E17" s="6">
        <f>STDEV(E2:E11)</f>
        <v>0.64016057013499006</v>
      </c>
      <c r="F17" s="6">
        <f>CONFIDENCE(0.9,D17,10)</f>
        <v>0.0011069299383574698</v>
      </c>
      <c r="G17" s="6">
        <f>CONFIDENCE(0.9,E17,10)</f>
        <v>0.025438449146932808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19</v>
      </c>
      <c r="B22" s="4">
        <f>AVERAGE(G2:G11)</f>
        <v>0.31879999999999997</v>
      </c>
      <c r="C22" s="12">
        <f>AVERAGE(H2:H11)</f>
        <v>16.832999999999998</v>
      </c>
      <c r="D22" s="8">
        <f>STDEV(G2:G11)</f>
        <v>0.043573182374279491</v>
      </c>
      <c r="E22" s="8">
        <f>STDEV(H2:H11)</f>
        <v>0.83612930951033015</v>
      </c>
      <c r="F22" s="8">
        <f>CONFIDENCE(0.9,D22,10)</f>
        <v>0.0017314939965209096</v>
      </c>
      <c r="G22" s="8">
        <f>CONFIDENCE(0.9,E22,10)</f>
        <v>0.033225777894682625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18</v>
      </c>
      <c r="B2" s="2">
        <v>0</v>
      </c>
      <c r="C2" s="2">
        <v>183</v>
      </c>
      <c r="D2" s="9">
        <v>0.26100000000000001</v>
      </c>
      <c r="E2" s="10">
        <v>15.08</v>
      </c>
      <c r="F2" s="2">
        <v>371</v>
      </c>
      <c r="G2" s="9">
        <v>0.53000000000000003</v>
      </c>
      <c r="H2" s="10">
        <v>20.18</v>
      </c>
      <c r="I2" s="2"/>
    </row>
    <row r="3" ht="14.25">
      <c r="A3" s="2">
        <v>18</v>
      </c>
      <c r="B3" s="2">
        <v>1</v>
      </c>
      <c r="C3" s="2">
        <v>214</v>
      </c>
      <c r="D3" s="9">
        <v>0.30599999999999999</v>
      </c>
      <c r="E3" s="10">
        <v>16.859999999999999</v>
      </c>
      <c r="F3" s="2">
        <v>340</v>
      </c>
      <c r="G3" s="9">
        <v>0.48599999999999999</v>
      </c>
      <c r="H3" s="10">
        <v>19.260000000000002</v>
      </c>
      <c r="I3" s="2"/>
    </row>
    <row r="4" ht="14.25">
      <c r="A4" s="2">
        <v>18</v>
      </c>
      <c r="B4" s="2">
        <v>2</v>
      </c>
      <c r="C4" s="2">
        <v>231</v>
      </c>
      <c r="D4" s="9">
        <v>0.33000000000000002</v>
      </c>
      <c r="E4" s="10">
        <v>16.02</v>
      </c>
      <c r="F4" s="2">
        <v>353</v>
      </c>
      <c r="G4" s="9">
        <v>0.504</v>
      </c>
      <c r="H4" s="10">
        <v>19.559999999999999</v>
      </c>
      <c r="I4" s="2"/>
    </row>
    <row r="5" ht="14.25">
      <c r="A5" s="2">
        <v>18</v>
      </c>
      <c r="B5" s="2">
        <v>3</v>
      </c>
      <c r="C5" s="2">
        <v>245</v>
      </c>
      <c r="D5" s="9">
        <v>0.34999999999999998</v>
      </c>
      <c r="E5" s="10">
        <v>16.440000000000001</v>
      </c>
      <c r="F5" s="2">
        <v>385</v>
      </c>
      <c r="G5" s="9">
        <v>0.55000000000000004</v>
      </c>
      <c r="H5" s="10">
        <v>20.440000000000001</v>
      </c>
      <c r="I5" s="2"/>
    </row>
    <row r="6" ht="14.25">
      <c r="A6" s="2">
        <v>18</v>
      </c>
      <c r="B6" s="2">
        <v>4</v>
      </c>
      <c r="C6" s="2">
        <v>177</v>
      </c>
      <c r="D6" s="9">
        <v>0.253</v>
      </c>
      <c r="E6" s="10">
        <v>15.130000000000001</v>
      </c>
      <c r="F6" s="2">
        <v>341</v>
      </c>
      <c r="G6" s="9">
        <v>0.48700000000000004</v>
      </c>
      <c r="H6" s="10">
        <v>19.800000000000001</v>
      </c>
      <c r="I6" s="2"/>
    </row>
    <row r="7" ht="14.25">
      <c r="A7" s="2">
        <v>18</v>
      </c>
      <c r="B7" s="2">
        <v>5</v>
      </c>
      <c r="C7" s="2">
        <v>196</v>
      </c>
      <c r="D7" s="9">
        <v>0.28000000000000003</v>
      </c>
      <c r="E7" s="11">
        <v>16.329999999999998</v>
      </c>
      <c r="F7" s="2">
        <v>363</v>
      </c>
      <c r="G7" s="9">
        <v>0.51900000000000002</v>
      </c>
      <c r="H7" s="11">
        <v>20.149999999999999</v>
      </c>
      <c r="I7" s="2"/>
    </row>
    <row r="8" ht="14.25">
      <c r="A8" s="2">
        <v>18</v>
      </c>
      <c r="B8" s="2">
        <v>6</v>
      </c>
      <c r="C8" s="2">
        <v>184</v>
      </c>
      <c r="D8" s="9">
        <v>0.26300000000000001</v>
      </c>
      <c r="E8" s="10">
        <v>15.869999999999999</v>
      </c>
      <c r="F8" s="2">
        <v>243</v>
      </c>
      <c r="G8" s="9">
        <v>0.34700000000000003</v>
      </c>
      <c r="H8" s="10">
        <v>17.670000000000002</v>
      </c>
      <c r="I8" s="2"/>
    </row>
    <row r="9" ht="14.25">
      <c r="A9" s="2">
        <v>18</v>
      </c>
      <c r="B9" s="2">
        <v>7</v>
      </c>
      <c r="C9" s="2">
        <v>216</v>
      </c>
      <c r="D9" s="9">
        <v>0.309</v>
      </c>
      <c r="E9" s="10">
        <v>16.780000000000001</v>
      </c>
      <c r="F9" s="2">
        <v>364</v>
      </c>
      <c r="G9" s="9">
        <v>0.52000000000000002</v>
      </c>
      <c r="H9" s="10">
        <v>20.149999999999999</v>
      </c>
      <c r="I9" s="2"/>
    </row>
    <row r="10" ht="14.25">
      <c r="A10" s="2">
        <v>18</v>
      </c>
      <c r="B10" s="2">
        <v>8</v>
      </c>
      <c r="C10" s="2">
        <v>189</v>
      </c>
      <c r="D10" s="9">
        <v>0.27000000000000002</v>
      </c>
      <c r="E10" s="10">
        <v>15.15</v>
      </c>
      <c r="F10" s="2">
        <v>361</v>
      </c>
      <c r="G10" s="9">
        <v>0.51600000000000001</v>
      </c>
      <c r="H10" s="10">
        <v>20.010000000000002</v>
      </c>
      <c r="I10" s="2"/>
    </row>
    <row r="11" ht="14.25">
      <c r="A11" s="2">
        <v>18</v>
      </c>
      <c r="B11" s="2">
        <v>9</v>
      </c>
      <c r="C11" s="2">
        <v>187</v>
      </c>
      <c r="D11" s="9">
        <v>0.26700000000000002</v>
      </c>
      <c r="E11" s="10">
        <v>16.09</v>
      </c>
      <c r="F11" s="2">
        <v>386</v>
      </c>
      <c r="G11" s="9">
        <v>0.55100000000000005</v>
      </c>
      <c r="H11" s="10">
        <v>20.890000000000001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18</v>
      </c>
      <c r="B17" s="4">
        <f>AVERAGE(D2:D11)</f>
        <v>0.28890000000000005</v>
      </c>
      <c r="C17" s="10">
        <f>AVERAGE(E2:E11)</f>
        <v>15.975</v>
      </c>
      <c r="D17" s="6">
        <f>STDEV(D2:D11)</f>
        <v>0.032952659646495568</v>
      </c>
      <c r="E17" s="6">
        <f>STDEV(E2:E11)</f>
        <v>0.66628739211310961</v>
      </c>
      <c r="F17" s="6">
        <f>CONFIDENCE(0.9,D17,10)</f>
        <v>0.0013094598383289967</v>
      </c>
      <c r="G17" s="6">
        <f>CONFIDENCE(0.9,E17,10)</f>
        <v>0.026476666530613927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18</v>
      </c>
      <c r="B22" s="4">
        <f>AVERAGE(G2:G11)</f>
        <v>0.50100000000000011</v>
      </c>
      <c r="C22" s="12">
        <f>AVERAGE(H2:H11)</f>
        <v>19.811</v>
      </c>
      <c r="D22" s="8">
        <f>STDEV(G2:G11)</f>
        <v>0.058497863208838659</v>
      </c>
      <c r="E22" s="8">
        <f>STDEV(H2:H11)</f>
        <v>0.87661533436533245</v>
      </c>
      <c r="F22" s="8">
        <f>CONFIDENCE(0.9,D22,10)</f>
        <v>0.0023245650979854646</v>
      </c>
      <c r="G22" s="8">
        <f>CONFIDENCE(0.9,E22,10)</f>
        <v>0.034834595638984271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17</v>
      </c>
      <c r="B2" s="2">
        <v>0</v>
      </c>
      <c r="C2" s="2">
        <v>170</v>
      </c>
      <c r="D2" s="9">
        <v>0.24299999999999999</v>
      </c>
      <c r="E2" s="10">
        <v>15.09</v>
      </c>
      <c r="F2" s="2">
        <v>373</v>
      </c>
      <c r="G2" s="9">
        <v>0.53299999999999992</v>
      </c>
      <c r="H2" s="10">
        <v>20.329999999999998</v>
      </c>
      <c r="I2" s="2"/>
    </row>
    <row r="3" ht="14.25">
      <c r="A3" s="2">
        <v>17</v>
      </c>
      <c r="B3" s="2">
        <v>1</v>
      </c>
      <c r="C3" s="2">
        <v>187</v>
      </c>
      <c r="D3" s="9">
        <v>0.26700000000000002</v>
      </c>
      <c r="E3" s="10">
        <v>15.69</v>
      </c>
      <c r="F3" s="2">
        <v>375</v>
      </c>
      <c r="G3" s="9">
        <v>0.53600000000000003</v>
      </c>
      <c r="H3" s="10">
        <v>20.489999999999998</v>
      </c>
      <c r="I3" s="2"/>
    </row>
    <row r="4" ht="14.25">
      <c r="A4" s="2">
        <v>17</v>
      </c>
      <c r="B4" s="2">
        <v>2</v>
      </c>
      <c r="C4" s="2">
        <v>191</v>
      </c>
      <c r="D4" s="9">
        <v>0.27300000000000002</v>
      </c>
      <c r="E4" s="10">
        <v>15.33</v>
      </c>
      <c r="F4" s="2">
        <v>348</v>
      </c>
      <c r="G4" s="9">
        <v>0.49700000000000005</v>
      </c>
      <c r="H4" s="10">
        <v>19.32</v>
      </c>
      <c r="I4" s="2"/>
    </row>
    <row r="5" ht="14.25">
      <c r="A5" s="2">
        <v>17</v>
      </c>
      <c r="B5" s="2">
        <v>3</v>
      </c>
      <c r="C5" s="2">
        <v>189</v>
      </c>
      <c r="D5" s="9">
        <v>0.27000000000000002</v>
      </c>
      <c r="E5" s="10">
        <v>14.869999999999999</v>
      </c>
      <c r="F5" s="2">
        <v>351</v>
      </c>
      <c r="G5" s="9">
        <v>0.501</v>
      </c>
      <c r="H5" s="10">
        <v>19.489999999999998</v>
      </c>
      <c r="I5" s="2"/>
    </row>
    <row r="6" ht="14.25">
      <c r="A6" s="2">
        <v>17</v>
      </c>
      <c r="B6" s="2">
        <v>4</v>
      </c>
      <c r="C6" s="2">
        <v>240</v>
      </c>
      <c r="D6" s="9">
        <v>0.34299999999999997</v>
      </c>
      <c r="E6" s="10">
        <v>17.460000000000001</v>
      </c>
      <c r="F6" s="2">
        <v>371</v>
      </c>
      <c r="G6" s="9">
        <v>0.53000000000000003</v>
      </c>
      <c r="H6" s="10">
        <v>20.539999999999999</v>
      </c>
      <c r="I6" s="2"/>
    </row>
    <row r="7" ht="14.25">
      <c r="A7" s="2">
        <v>17</v>
      </c>
      <c r="B7" s="2">
        <v>5</v>
      </c>
      <c r="C7" s="2">
        <v>200</v>
      </c>
      <c r="D7" s="9">
        <v>0.28600000000000003</v>
      </c>
      <c r="E7" s="11">
        <v>15.56</v>
      </c>
      <c r="F7" s="2">
        <v>374</v>
      </c>
      <c r="G7" s="9">
        <v>0.53400000000000003</v>
      </c>
      <c r="H7" s="11">
        <v>20.27</v>
      </c>
      <c r="I7" s="2"/>
    </row>
    <row r="8" ht="14.25">
      <c r="A8" s="2">
        <v>17</v>
      </c>
      <c r="B8" s="2">
        <v>6</v>
      </c>
      <c r="C8" s="2">
        <v>253</v>
      </c>
      <c r="D8" s="9">
        <v>0.36099999999999999</v>
      </c>
      <c r="E8" s="10">
        <v>17.260000000000002</v>
      </c>
      <c r="F8" s="2">
        <v>381</v>
      </c>
      <c r="G8" s="9">
        <v>0.54400000000000004</v>
      </c>
      <c r="H8" s="10">
        <v>20.940000000000001</v>
      </c>
      <c r="I8" s="2"/>
    </row>
    <row r="9" ht="14.25">
      <c r="A9" s="2">
        <v>17</v>
      </c>
      <c r="B9" s="2">
        <v>7</v>
      </c>
      <c r="C9" s="2">
        <v>235</v>
      </c>
      <c r="D9" s="9">
        <v>0.33600000000000002</v>
      </c>
      <c r="E9" s="10">
        <v>17.07</v>
      </c>
      <c r="F9" s="2">
        <v>382</v>
      </c>
      <c r="G9" s="9">
        <v>0.54600000000000004</v>
      </c>
      <c r="H9" s="10">
        <v>20.699999999999999</v>
      </c>
      <c r="I9" s="2"/>
    </row>
    <row r="10" ht="14.25">
      <c r="A10" s="2">
        <v>17</v>
      </c>
      <c r="B10" s="2">
        <v>8</v>
      </c>
      <c r="C10" s="2">
        <v>209</v>
      </c>
      <c r="D10" s="9">
        <v>0.29899999999999999</v>
      </c>
      <c r="E10" s="10">
        <v>16.93</v>
      </c>
      <c r="F10" s="2">
        <v>408</v>
      </c>
      <c r="G10" s="9">
        <v>0.58299999999999996</v>
      </c>
      <c r="H10" s="10">
        <v>21.350000000000001</v>
      </c>
      <c r="I10" s="2"/>
    </row>
    <row r="11" ht="14.25">
      <c r="A11" s="2">
        <v>17</v>
      </c>
      <c r="B11" s="2">
        <v>9</v>
      </c>
      <c r="C11" s="2">
        <v>224</v>
      </c>
      <c r="D11" s="9">
        <v>0.32000000000000001</v>
      </c>
      <c r="E11" s="10">
        <v>16.949999999999999</v>
      </c>
      <c r="F11" s="2">
        <v>389</v>
      </c>
      <c r="G11" s="9">
        <v>0.55600000000000005</v>
      </c>
      <c r="H11" s="10">
        <v>20.739999999999998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17</v>
      </c>
      <c r="B17" s="4">
        <f>AVERAGE(D2:D11)</f>
        <v>0.29979999999999996</v>
      </c>
      <c r="C17" s="10">
        <f>AVERAGE(E2:E11)</f>
        <v>16.221</v>
      </c>
      <c r="D17" s="6">
        <f>STDEV(D2:D11)</f>
        <v>0.038628717009211909</v>
      </c>
      <c r="E17" s="6">
        <f>STDEV(E2:E11)</f>
        <v>0.99926028196416983</v>
      </c>
      <c r="F17" s="6">
        <f>CONFIDENCE(0.9,D17,10)</f>
        <v>0.0015350127750649873</v>
      </c>
      <c r="G17" s="6">
        <f>CONFIDENCE(0.9,E17,10)</f>
        <v>0.03970821236605538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17</v>
      </c>
      <c r="B22" s="4">
        <f>AVERAGE(G2:G11)</f>
        <v>0.53600000000000003</v>
      </c>
      <c r="C22" s="12">
        <f>AVERAGE(H2:H11)</f>
        <v>20.416999999999998</v>
      </c>
      <c r="D22" s="8">
        <f>STDEV(G2:G11)</f>
        <v>0.024873010808236833</v>
      </c>
      <c r="E22" s="8">
        <f>STDEV(H2:H11)</f>
        <v>0.61831401587075707</v>
      </c>
      <c r="F22" s="8">
        <f>CONFIDENCE(0.9,D22,10)</f>
        <v>0.00098839392817183275</v>
      </c>
      <c r="G22" s="8">
        <f>CONFIDENCE(0.9,E22,10)</f>
        <v>0.024570319359480876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16</v>
      </c>
      <c r="B2" s="2">
        <v>0</v>
      </c>
      <c r="C2" s="2">
        <v>232</v>
      </c>
      <c r="D2" s="9">
        <v>0.33100000000000002</v>
      </c>
      <c r="E2" s="10">
        <v>16.199999999999999</v>
      </c>
      <c r="F2" s="2">
        <v>341</v>
      </c>
      <c r="G2" s="9">
        <v>0.48700000000000004</v>
      </c>
      <c r="H2" s="10">
        <v>19.18</v>
      </c>
      <c r="I2" s="2"/>
    </row>
    <row r="3" ht="14.25">
      <c r="A3" s="2">
        <v>16</v>
      </c>
      <c r="B3" s="2">
        <v>1</v>
      </c>
      <c r="C3" s="2">
        <v>231</v>
      </c>
      <c r="D3" s="9">
        <v>0.33000000000000002</v>
      </c>
      <c r="E3" s="10">
        <v>16.82</v>
      </c>
      <c r="F3" s="2">
        <v>408</v>
      </c>
      <c r="G3" s="9">
        <v>0.58299999999999996</v>
      </c>
      <c r="H3" s="10">
        <v>20.760000000000002</v>
      </c>
      <c r="I3" s="2"/>
    </row>
    <row r="4" ht="14.25">
      <c r="A4" s="2">
        <v>16</v>
      </c>
      <c r="B4" s="2">
        <v>2</v>
      </c>
      <c r="C4" s="2">
        <v>186</v>
      </c>
      <c r="D4" s="9">
        <v>0.26600000000000001</v>
      </c>
      <c r="E4" s="10">
        <v>15.640000000000001</v>
      </c>
      <c r="F4" s="2">
        <v>308</v>
      </c>
      <c r="G4" s="9">
        <v>0.44</v>
      </c>
      <c r="H4" s="10">
        <v>18.949999999999999</v>
      </c>
      <c r="I4" s="2"/>
    </row>
    <row r="5" ht="14.25">
      <c r="A5" s="2">
        <v>16</v>
      </c>
      <c r="B5" s="2">
        <v>3</v>
      </c>
      <c r="C5" s="2">
        <v>208</v>
      </c>
      <c r="D5" s="9">
        <v>0.29699999999999999</v>
      </c>
      <c r="E5" s="10">
        <v>17.550000000000001</v>
      </c>
      <c r="F5" s="2">
        <v>351</v>
      </c>
      <c r="G5" s="9">
        <v>0.501</v>
      </c>
      <c r="H5" s="10">
        <v>20.719999999999999</v>
      </c>
      <c r="I5" s="2"/>
    </row>
    <row r="6" ht="14.25">
      <c r="A6" s="2">
        <v>16</v>
      </c>
      <c r="B6" s="2">
        <v>4</v>
      </c>
      <c r="C6" s="2">
        <v>190</v>
      </c>
      <c r="D6" s="9">
        <v>0.27100000000000002</v>
      </c>
      <c r="E6" s="10">
        <v>15.81</v>
      </c>
      <c r="F6" s="2">
        <v>303</v>
      </c>
      <c r="G6" s="9">
        <v>0.433</v>
      </c>
      <c r="H6" s="10">
        <v>18.780000000000001</v>
      </c>
      <c r="I6" s="2"/>
    </row>
    <row r="7" ht="14.25">
      <c r="A7" s="2">
        <v>16</v>
      </c>
      <c r="B7" s="2">
        <v>5</v>
      </c>
      <c r="C7" s="2">
        <v>148</v>
      </c>
      <c r="D7" s="9">
        <v>0.21100000000000002</v>
      </c>
      <c r="E7" s="11">
        <v>15.390000000000001</v>
      </c>
      <c r="F7" s="2">
        <v>337</v>
      </c>
      <c r="G7" s="9">
        <v>0.48100000000000004</v>
      </c>
      <c r="H7" s="11">
        <v>19.989999999999998</v>
      </c>
      <c r="I7" s="2"/>
    </row>
    <row r="8" ht="14.25">
      <c r="A8" s="2">
        <v>16</v>
      </c>
      <c r="B8" s="2">
        <v>6</v>
      </c>
      <c r="C8" s="2">
        <v>222</v>
      </c>
      <c r="D8" s="9">
        <v>0.317</v>
      </c>
      <c r="E8" s="10">
        <v>17.02</v>
      </c>
      <c r="F8" s="2">
        <v>369</v>
      </c>
      <c r="G8" s="9">
        <v>0.52700000000000002</v>
      </c>
      <c r="H8" s="10">
        <v>20.760000000000002</v>
      </c>
      <c r="I8" s="2"/>
    </row>
    <row r="9" ht="14.25">
      <c r="A9" s="2">
        <v>16</v>
      </c>
      <c r="B9" s="2">
        <v>7</v>
      </c>
      <c r="C9" s="2">
        <v>207</v>
      </c>
      <c r="D9" s="9">
        <v>0.29600000000000004</v>
      </c>
      <c r="E9" s="10">
        <v>16.390000000000001</v>
      </c>
      <c r="F9" s="2">
        <v>385</v>
      </c>
      <c r="G9" s="9">
        <v>0.55000000000000004</v>
      </c>
      <c r="H9" s="10">
        <v>20.469999999999999</v>
      </c>
      <c r="I9" s="2"/>
    </row>
    <row r="10" ht="14.25">
      <c r="A10" s="2">
        <v>16</v>
      </c>
      <c r="B10" s="2">
        <v>8</v>
      </c>
      <c r="C10" s="2">
        <v>224</v>
      </c>
      <c r="D10" s="9">
        <v>0.32000000000000001</v>
      </c>
      <c r="E10" s="10">
        <v>16.670000000000002</v>
      </c>
      <c r="F10" s="2">
        <v>397</v>
      </c>
      <c r="G10" s="9">
        <v>0.56700000000000006</v>
      </c>
      <c r="H10" s="10">
        <v>20.5</v>
      </c>
      <c r="I10" s="2"/>
    </row>
    <row r="11" ht="14.25">
      <c r="A11" s="2">
        <v>16</v>
      </c>
      <c r="B11" s="2">
        <v>9</v>
      </c>
      <c r="C11" s="2">
        <v>204</v>
      </c>
      <c r="D11" s="9">
        <v>0.29100000000000004</v>
      </c>
      <c r="E11" s="10">
        <v>15.5</v>
      </c>
      <c r="F11" s="2">
        <v>386</v>
      </c>
      <c r="G11" s="9">
        <v>0.55100000000000005</v>
      </c>
      <c r="H11" s="10">
        <v>20.289999999999999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16</v>
      </c>
      <c r="B17" s="4">
        <f>AVERAGE(D2:D11)</f>
        <v>0.29299999999999998</v>
      </c>
      <c r="C17" s="10">
        <f>AVERAGE(E2:E11)</f>
        <v>16.298999999999999</v>
      </c>
      <c r="D17" s="6">
        <f>STDEV(D2:D11)</f>
        <v>0.036642416223096788</v>
      </c>
      <c r="E17" s="6">
        <f>STDEV(E2:E11)</f>
        <v>0.71880224447803909</v>
      </c>
      <c r="F17" s="6">
        <f>CONFIDENCE(0.9,D17,10)</f>
        <v>0.0014560819350611313</v>
      </c>
      <c r="G17" s="6">
        <f>CONFIDENCE(0.9,E17,10)</f>
        <v>0.028563481095063348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16</v>
      </c>
      <c r="B22" s="4">
        <f>AVERAGE(G2:G11)</f>
        <v>0.51200000000000001</v>
      </c>
      <c r="C22" s="12">
        <f>AVERAGE(H2:H11)</f>
        <v>20.039999999999999</v>
      </c>
      <c r="D22" s="8">
        <f>STDEV(G2:G11)</f>
        <v>0.052055525910106586</v>
      </c>
      <c r="E22" s="8">
        <f>STDEV(H2:H11)</f>
        <v>0.78002848950820036</v>
      </c>
      <c r="F22" s="8">
        <f>CONFIDENCE(0.9,D22,10)</f>
        <v>0.0020685620303072623</v>
      </c>
      <c r="G22" s="8">
        <f>CONFIDENCE(0.9,E22,10)</f>
        <v>0.030996465557584958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15</v>
      </c>
      <c r="B2" s="2">
        <v>0</v>
      </c>
      <c r="C2" s="2">
        <v>189</v>
      </c>
      <c r="D2" s="9">
        <v>0.27000000000000002</v>
      </c>
      <c r="E2" s="10">
        <v>15.9</v>
      </c>
      <c r="F2" s="2">
        <v>352</v>
      </c>
      <c r="G2" s="9">
        <v>0.503</v>
      </c>
      <c r="H2" s="10">
        <v>20.370000000000001</v>
      </c>
      <c r="I2" s="2"/>
    </row>
    <row r="3" ht="14.25">
      <c r="A3" s="2">
        <v>15</v>
      </c>
      <c r="B3" s="2">
        <v>1</v>
      </c>
      <c r="C3" s="2">
        <v>149</v>
      </c>
      <c r="D3" s="9">
        <v>0.21299999999999999</v>
      </c>
      <c r="E3" s="10">
        <v>14.390000000000001</v>
      </c>
      <c r="F3" s="2">
        <v>315</v>
      </c>
      <c r="G3" s="9">
        <v>0.45000000000000001</v>
      </c>
      <c r="H3" s="10">
        <v>19.079999999999998</v>
      </c>
      <c r="I3" s="2"/>
    </row>
    <row r="4" ht="14.25">
      <c r="A4" s="2">
        <v>15</v>
      </c>
      <c r="B4" s="2">
        <v>2</v>
      </c>
      <c r="C4" s="2">
        <v>222</v>
      </c>
      <c r="D4" s="9">
        <v>0.317</v>
      </c>
      <c r="E4" s="10">
        <v>16.73</v>
      </c>
      <c r="F4" s="2">
        <v>381</v>
      </c>
      <c r="G4" s="9">
        <v>0.54400000000000004</v>
      </c>
      <c r="H4" s="10">
        <v>20.329999999999998</v>
      </c>
      <c r="I4" s="2"/>
    </row>
    <row r="5" ht="14.25">
      <c r="A5" s="2">
        <v>15</v>
      </c>
      <c r="B5" s="2">
        <v>3</v>
      </c>
      <c r="C5" s="2">
        <v>144</v>
      </c>
      <c r="D5" s="9">
        <v>0.20600000000000002</v>
      </c>
      <c r="E5" s="10">
        <v>14.19</v>
      </c>
      <c r="F5" s="2">
        <v>330</v>
      </c>
      <c r="G5" s="9">
        <v>0.47100000000000003</v>
      </c>
      <c r="H5" s="10">
        <v>18.690000000000001</v>
      </c>
      <c r="I5" s="2"/>
    </row>
    <row r="6" ht="14.25">
      <c r="A6" s="2">
        <v>15</v>
      </c>
      <c r="B6" s="2">
        <v>4</v>
      </c>
      <c r="C6" s="2">
        <v>138</v>
      </c>
      <c r="D6" s="9">
        <v>0.19699999999999998</v>
      </c>
      <c r="E6" s="10">
        <v>13.789999999999999</v>
      </c>
      <c r="F6" s="2">
        <v>305</v>
      </c>
      <c r="G6" s="9">
        <v>0.436</v>
      </c>
      <c r="H6" s="10">
        <v>18.760000000000002</v>
      </c>
      <c r="I6" s="2"/>
    </row>
    <row r="7" ht="14.25">
      <c r="A7" s="2">
        <v>15</v>
      </c>
      <c r="B7" s="2">
        <v>5</v>
      </c>
      <c r="C7" s="2">
        <v>185</v>
      </c>
      <c r="D7" s="9">
        <v>0.26400000000000001</v>
      </c>
      <c r="E7" s="11">
        <v>15.58</v>
      </c>
      <c r="F7" s="2">
        <v>343</v>
      </c>
      <c r="G7" s="9">
        <v>0.48999999999999999</v>
      </c>
      <c r="H7" s="11">
        <v>20.219999999999999</v>
      </c>
      <c r="I7" s="2"/>
    </row>
    <row r="8" ht="14.25">
      <c r="A8" s="2">
        <v>15</v>
      </c>
      <c r="B8" s="2">
        <v>6</v>
      </c>
      <c r="C8" s="2">
        <v>225</v>
      </c>
      <c r="D8" s="9">
        <v>0.32100000000000001</v>
      </c>
      <c r="E8" s="10">
        <v>17.09</v>
      </c>
      <c r="F8" s="2">
        <v>368</v>
      </c>
      <c r="G8" s="9">
        <v>0.52600000000000002</v>
      </c>
      <c r="H8" s="10">
        <v>20.07</v>
      </c>
      <c r="I8" s="2"/>
    </row>
    <row r="9" ht="14.25">
      <c r="A9" s="2">
        <v>15</v>
      </c>
      <c r="B9" s="2">
        <v>7</v>
      </c>
      <c r="C9" s="2">
        <v>157</v>
      </c>
      <c r="D9" s="9">
        <v>0.22399999999999998</v>
      </c>
      <c r="E9" s="10">
        <v>15</v>
      </c>
      <c r="F9" s="2">
        <v>259</v>
      </c>
      <c r="G9" s="9">
        <v>0.37</v>
      </c>
      <c r="H9" s="10">
        <v>17.859999999999999</v>
      </c>
      <c r="I9" s="2"/>
    </row>
    <row r="10" ht="14.25">
      <c r="A10" s="2">
        <v>15</v>
      </c>
      <c r="B10" s="2">
        <v>8</v>
      </c>
      <c r="C10" s="2">
        <v>207</v>
      </c>
      <c r="D10" s="9">
        <v>0.29600000000000004</v>
      </c>
      <c r="E10" s="10">
        <v>16.420000000000002</v>
      </c>
      <c r="F10" s="2">
        <v>359</v>
      </c>
      <c r="G10" s="9">
        <v>0.51300000000000001</v>
      </c>
      <c r="H10" s="10">
        <v>20.18</v>
      </c>
      <c r="I10" s="2"/>
    </row>
    <row r="11" ht="14.25">
      <c r="A11" s="2">
        <v>15</v>
      </c>
      <c r="B11" s="2">
        <v>9</v>
      </c>
      <c r="C11" s="2">
        <v>188</v>
      </c>
      <c r="D11" s="9">
        <v>0.26899999999999996</v>
      </c>
      <c r="E11" s="10">
        <v>16.140000000000001</v>
      </c>
      <c r="F11" s="2">
        <v>343</v>
      </c>
      <c r="G11" s="9">
        <v>0.48999999999999999</v>
      </c>
      <c r="H11" s="10">
        <v>19.68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15</v>
      </c>
      <c r="B17" s="4">
        <f>AVERAGE(D2:D11)</f>
        <v>0.25769999999999998</v>
      </c>
      <c r="C17" s="10">
        <f>AVERAGE(E2:E11)</f>
        <v>15.523000000000001</v>
      </c>
      <c r="D17" s="6">
        <f>STDEV(D2:D11)</f>
        <v>0.045704485556671573</v>
      </c>
      <c r="E17" s="6">
        <f>STDEV(E2:E11)</f>
        <v>1.1343333823097261</v>
      </c>
      <c r="F17" s="6">
        <f>CONFIDENCE(0.9,D17,10)</f>
        <v>0.0018161868847607213</v>
      </c>
      <c r="G17" s="6">
        <f>CONFIDENCE(0.9,E17,10)</f>
        <v>0.045075694142595338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15</v>
      </c>
      <c r="B22" s="4">
        <f>AVERAGE(G2:G11)</f>
        <v>0.4793</v>
      </c>
      <c r="C22" s="12">
        <f>AVERAGE(H2:H11)</f>
        <v>19.524000000000001</v>
      </c>
      <c r="D22" s="8">
        <f>STDEV(G2:G11)</f>
        <v>0.050598748337615365</v>
      </c>
      <c r="E22" s="8">
        <f>STDEV(H2:H11)</f>
        <v>0.87227926211226114</v>
      </c>
      <c r="F22" s="8">
        <f>CONFIDENCE(0.9,D22,10)</f>
        <v>0.0020106731756588171</v>
      </c>
      <c r="G22" s="8">
        <f>CONFIDENCE(0.9,E22,10)</f>
        <v>0.034662290503908677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14</v>
      </c>
      <c r="B2" s="2">
        <v>0</v>
      </c>
      <c r="C2" s="2">
        <v>218</v>
      </c>
      <c r="D2" s="9">
        <v>0.311</v>
      </c>
      <c r="E2" s="10">
        <v>16.68</v>
      </c>
      <c r="F2" s="2">
        <v>350</v>
      </c>
      <c r="G2" s="9">
        <v>0.5</v>
      </c>
      <c r="H2" s="10">
        <v>20.18</v>
      </c>
      <c r="I2" s="2"/>
    </row>
    <row r="3" ht="14.25">
      <c r="A3" s="2">
        <v>14</v>
      </c>
      <c r="B3" s="2">
        <v>1</v>
      </c>
      <c r="C3" s="2">
        <v>212</v>
      </c>
      <c r="D3" s="9">
        <v>0.30299999999999999</v>
      </c>
      <c r="E3" s="10">
        <v>16.670000000000002</v>
      </c>
      <c r="F3" s="2">
        <v>346</v>
      </c>
      <c r="G3" s="9">
        <v>0.49399999999999999</v>
      </c>
      <c r="H3" s="10">
        <v>19.780000000000001</v>
      </c>
      <c r="I3" s="2"/>
    </row>
    <row r="4" ht="14.25">
      <c r="A4" s="2">
        <v>14</v>
      </c>
      <c r="B4" s="2">
        <v>2</v>
      </c>
      <c r="C4" s="2">
        <v>169</v>
      </c>
      <c r="D4" s="9">
        <v>0.24100000000000002</v>
      </c>
      <c r="E4" s="10">
        <v>15.94</v>
      </c>
      <c r="F4" s="2">
        <v>310</v>
      </c>
      <c r="G4" s="9">
        <v>0.44299999999999995</v>
      </c>
      <c r="H4" s="10">
        <v>19.140000000000001</v>
      </c>
      <c r="I4" s="2"/>
    </row>
    <row r="5" ht="14.25">
      <c r="A5" s="2">
        <v>14</v>
      </c>
      <c r="B5" s="2">
        <v>3</v>
      </c>
      <c r="C5" s="2">
        <v>233</v>
      </c>
      <c r="D5" s="9">
        <v>0.33299999999999996</v>
      </c>
      <c r="E5" s="10">
        <v>17.129999999999999</v>
      </c>
      <c r="F5" s="2">
        <v>399</v>
      </c>
      <c r="G5" s="9">
        <v>0.56999999999999995</v>
      </c>
      <c r="H5" s="10">
        <v>21.390000000000001</v>
      </c>
      <c r="I5" s="2"/>
    </row>
    <row r="6" ht="14.25">
      <c r="A6" s="2">
        <v>14</v>
      </c>
      <c r="B6" s="2">
        <v>4</v>
      </c>
      <c r="C6" s="2">
        <v>197</v>
      </c>
      <c r="D6" s="9">
        <v>0.28100000000000003</v>
      </c>
      <c r="E6" s="10">
        <v>16.460000000000001</v>
      </c>
      <c r="F6" s="2">
        <v>361</v>
      </c>
      <c r="G6" s="9">
        <v>0.51600000000000001</v>
      </c>
      <c r="H6" s="10">
        <v>19.960000000000001</v>
      </c>
      <c r="I6" s="2"/>
    </row>
    <row r="7" ht="14.25">
      <c r="A7" s="2">
        <v>14</v>
      </c>
      <c r="B7" s="2">
        <v>5</v>
      </c>
      <c r="C7" s="2">
        <v>208</v>
      </c>
      <c r="D7" s="9">
        <v>0.29699999999999999</v>
      </c>
      <c r="E7" s="11">
        <v>16.91</v>
      </c>
      <c r="F7" s="2">
        <v>337</v>
      </c>
      <c r="G7" s="9">
        <v>0.48100000000000004</v>
      </c>
      <c r="H7" s="11">
        <v>20.199999999999999</v>
      </c>
      <c r="I7" s="2"/>
    </row>
    <row r="8" ht="14.25">
      <c r="A8" s="2">
        <v>14</v>
      </c>
      <c r="B8" s="2">
        <v>6</v>
      </c>
      <c r="C8" s="2">
        <v>176</v>
      </c>
      <c r="D8" s="9">
        <v>0.251</v>
      </c>
      <c r="E8" s="10">
        <v>15.75</v>
      </c>
      <c r="F8" s="2">
        <v>307</v>
      </c>
      <c r="G8" s="9">
        <v>0.439</v>
      </c>
      <c r="H8" s="10">
        <v>19.039999999999999</v>
      </c>
      <c r="I8" s="2"/>
    </row>
    <row r="9" ht="14.25">
      <c r="A9" s="2">
        <v>14</v>
      </c>
      <c r="B9" s="2">
        <v>7</v>
      </c>
      <c r="C9" s="2">
        <v>212</v>
      </c>
      <c r="D9" s="9">
        <v>0.30299999999999999</v>
      </c>
      <c r="E9" s="10">
        <v>17.109999999999999</v>
      </c>
      <c r="F9" s="2">
        <v>356</v>
      </c>
      <c r="G9" s="9">
        <v>0.50900000000000001</v>
      </c>
      <c r="H9" s="10">
        <v>20.25</v>
      </c>
      <c r="I9" s="2"/>
    </row>
    <row r="10" ht="14.25">
      <c r="A10" s="2">
        <v>14</v>
      </c>
      <c r="B10" s="2">
        <v>8</v>
      </c>
      <c r="C10" s="2">
        <v>183</v>
      </c>
      <c r="D10" s="9">
        <v>0.26100000000000001</v>
      </c>
      <c r="E10" s="10">
        <v>15.65</v>
      </c>
      <c r="F10" s="2">
        <v>380</v>
      </c>
      <c r="G10" s="9">
        <v>0.54299999999999993</v>
      </c>
      <c r="H10" s="10">
        <v>20.449999999999999</v>
      </c>
      <c r="I10" s="2"/>
    </row>
    <row r="11" ht="14.25">
      <c r="A11" s="2">
        <v>14</v>
      </c>
      <c r="B11" s="2">
        <v>9</v>
      </c>
      <c r="C11" s="2">
        <v>239</v>
      </c>
      <c r="D11" s="9">
        <v>0.34100000000000003</v>
      </c>
      <c r="E11" s="10">
        <v>17.719999999999999</v>
      </c>
      <c r="F11" s="2">
        <v>388</v>
      </c>
      <c r="G11" s="9">
        <v>0.55399999999999994</v>
      </c>
      <c r="H11" s="10">
        <v>20.870000000000001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14</v>
      </c>
      <c r="B17" s="4">
        <f>AVERAGE(D2:D11)</f>
        <v>0.29220000000000002</v>
      </c>
      <c r="C17" s="10">
        <f>AVERAGE(E2:E11)</f>
        <v>16.601999999999997</v>
      </c>
      <c r="D17" s="6">
        <f>STDEV(D2:D11)</f>
        <v>0.033455775120132668</v>
      </c>
      <c r="E17" s="6">
        <f>STDEV(E2:E11)</f>
        <v>0.66524515113686522</v>
      </c>
      <c r="F17" s="6">
        <f>CONFIDENCE(0.9,D17,10)</f>
        <v>0.0013294524432913011</v>
      </c>
      <c r="G17" s="6">
        <f>CONFIDENCE(0.9,E17,10)</f>
        <v>0.026435250368310379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14</v>
      </c>
      <c r="B22" s="4">
        <f>AVERAGE(G2:G11)</f>
        <v>0.5048999999999999</v>
      </c>
      <c r="C22" s="12">
        <f>AVERAGE(H2:H11)</f>
        <v>20.126000000000001</v>
      </c>
      <c r="D22" s="8">
        <f>STDEV(G2:G11)</f>
        <v>0.04362580785625763</v>
      </c>
      <c r="E22" s="8">
        <f>STDEV(H2:H11)</f>
        <v>0.71327414084628094</v>
      </c>
      <c r="F22" s="8">
        <f>CONFIDENCE(0.9,D22,10)</f>
        <v>0.0017335852072414501</v>
      </c>
      <c r="G22" s="8">
        <f>CONFIDENCE(0.9,E22,10)</f>
        <v>0.028343807485540971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13</v>
      </c>
      <c r="B2" s="2">
        <v>0</v>
      </c>
      <c r="C2" s="2">
        <v>185</v>
      </c>
      <c r="D2" s="9">
        <v>0.26400000000000001</v>
      </c>
      <c r="E2" s="10">
        <v>15.800000000000001</v>
      </c>
      <c r="F2" s="2">
        <v>357</v>
      </c>
      <c r="G2" s="9">
        <v>0.51000000000000001</v>
      </c>
      <c r="H2" s="10">
        <v>19.25</v>
      </c>
      <c r="I2" s="2"/>
    </row>
    <row r="3" ht="14.25">
      <c r="A3" s="2">
        <v>13</v>
      </c>
      <c r="B3" s="2">
        <v>1</v>
      </c>
      <c r="C3" s="2">
        <v>179</v>
      </c>
      <c r="D3" s="9">
        <v>0.25600000000000001</v>
      </c>
      <c r="E3" s="10">
        <v>15.449999999999999</v>
      </c>
      <c r="F3" s="2">
        <v>334</v>
      </c>
      <c r="G3" s="9">
        <v>0.47700000000000004</v>
      </c>
      <c r="H3" s="10">
        <v>19.579999999999998</v>
      </c>
      <c r="I3" s="2"/>
    </row>
    <row r="4" ht="14.25">
      <c r="A4" s="2">
        <v>13</v>
      </c>
      <c r="B4" s="2">
        <v>2</v>
      </c>
      <c r="C4" s="2">
        <v>236</v>
      </c>
      <c r="D4" s="9">
        <v>0.33700000000000002</v>
      </c>
      <c r="E4" s="10">
        <v>17.5</v>
      </c>
      <c r="F4" s="2">
        <v>394</v>
      </c>
      <c r="G4" s="9">
        <v>0.56299999999999994</v>
      </c>
      <c r="H4" s="10">
        <v>21.129999999999999</v>
      </c>
      <c r="I4" s="2"/>
    </row>
    <row r="5" ht="14.25">
      <c r="A5" s="2">
        <v>13</v>
      </c>
      <c r="B5" s="2">
        <v>3</v>
      </c>
      <c r="C5" s="2">
        <v>167</v>
      </c>
      <c r="D5" s="9">
        <v>0.23899999999999999</v>
      </c>
      <c r="E5" s="10">
        <v>15.949999999999999</v>
      </c>
      <c r="F5" s="2">
        <v>361</v>
      </c>
      <c r="G5" s="9">
        <v>0.51600000000000001</v>
      </c>
      <c r="H5" s="10">
        <v>20.190000000000001</v>
      </c>
      <c r="I5" s="2"/>
    </row>
    <row r="6" ht="14.25">
      <c r="A6" s="2">
        <v>13</v>
      </c>
      <c r="B6" s="2">
        <v>4</v>
      </c>
      <c r="C6" s="2">
        <v>189</v>
      </c>
      <c r="D6" s="9">
        <v>0.27000000000000002</v>
      </c>
      <c r="E6" s="10">
        <v>15.93</v>
      </c>
      <c r="F6" s="2">
        <v>338</v>
      </c>
      <c r="G6" s="9">
        <v>0.48299999999999998</v>
      </c>
      <c r="H6" s="10">
        <v>19.640000000000001</v>
      </c>
      <c r="I6" s="2"/>
    </row>
    <row r="7" ht="14.25">
      <c r="A7" s="2">
        <v>13</v>
      </c>
      <c r="B7" s="2">
        <v>5</v>
      </c>
      <c r="C7" s="2">
        <v>215</v>
      </c>
      <c r="D7" s="9">
        <v>0.307</v>
      </c>
      <c r="E7" s="11">
        <v>16.73</v>
      </c>
      <c r="F7" s="2">
        <v>358</v>
      </c>
      <c r="G7" s="9">
        <v>0.51100000000000001</v>
      </c>
      <c r="H7" s="11">
        <v>20.510000000000002</v>
      </c>
      <c r="I7" s="2"/>
    </row>
    <row r="8" ht="14.25">
      <c r="A8" s="2">
        <v>13</v>
      </c>
      <c r="B8" s="2">
        <v>6</v>
      </c>
      <c r="C8" s="2">
        <v>158</v>
      </c>
      <c r="D8" s="9">
        <v>0.22600000000000001</v>
      </c>
      <c r="E8" s="10">
        <v>14.300000000000001</v>
      </c>
      <c r="F8" s="2">
        <v>315</v>
      </c>
      <c r="G8" s="9">
        <v>0.45000000000000001</v>
      </c>
      <c r="H8" s="10">
        <v>18.050000000000001</v>
      </c>
      <c r="I8" s="2"/>
    </row>
    <row r="9" ht="14.25">
      <c r="A9" s="2">
        <v>13</v>
      </c>
      <c r="B9" s="2">
        <v>7</v>
      </c>
      <c r="C9" s="2">
        <v>197</v>
      </c>
      <c r="D9" s="9">
        <v>0.28100000000000003</v>
      </c>
      <c r="E9" s="10">
        <v>17.010000000000002</v>
      </c>
      <c r="F9" s="2">
        <v>344</v>
      </c>
      <c r="G9" s="9">
        <v>0.49099999999999999</v>
      </c>
      <c r="H9" s="10">
        <v>20.43</v>
      </c>
      <c r="I9" s="2"/>
    </row>
    <row r="10" ht="14.25">
      <c r="A10" s="2">
        <v>13</v>
      </c>
      <c r="B10" s="2">
        <v>8</v>
      </c>
      <c r="C10" s="2">
        <v>227</v>
      </c>
      <c r="D10" s="9">
        <v>0.32400000000000001</v>
      </c>
      <c r="E10" s="10">
        <v>16.949999999999999</v>
      </c>
      <c r="F10" s="2">
        <v>402</v>
      </c>
      <c r="G10" s="9">
        <v>0.57399999999999995</v>
      </c>
      <c r="H10" s="10">
        <v>21.050000000000001</v>
      </c>
      <c r="I10" s="2"/>
    </row>
    <row r="11" ht="14.25">
      <c r="A11" s="2">
        <v>13</v>
      </c>
      <c r="B11" s="2">
        <v>9</v>
      </c>
      <c r="C11" s="2">
        <v>217</v>
      </c>
      <c r="D11" s="9">
        <v>0.31</v>
      </c>
      <c r="E11" s="10">
        <v>17.82</v>
      </c>
      <c r="F11" s="2">
        <v>382</v>
      </c>
      <c r="G11" s="9">
        <v>0.54600000000000004</v>
      </c>
      <c r="H11" s="10">
        <v>21.640000000000001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13</v>
      </c>
      <c r="B17" s="4">
        <f>AVERAGE(D2:D11)</f>
        <v>0.28139999999999998</v>
      </c>
      <c r="C17" s="10">
        <f>AVERAGE(E2:E11)</f>
        <v>16.343999999999998</v>
      </c>
      <c r="D17" s="6">
        <f>STDEV(D2:D11)</f>
        <v>0.037005104752963182</v>
      </c>
      <c r="E17" s="6">
        <f>STDEV(E2:E11)</f>
        <v>1.0580086116011638</v>
      </c>
      <c r="F17" s="6">
        <f>CONFIDENCE(0.9,D17,10)</f>
        <v>0.0014704943093209776</v>
      </c>
      <c r="G17" s="6">
        <f>CONFIDENCE(0.9,E17,10)</f>
        <v>0.04204273040052723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13</v>
      </c>
      <c r="B22" s="4">
        <f>AVERAGE(G2:G11)</f>
        <v>0.5121</v>
      </c>
      <c r="C22" s="12">
        <f>AVERAGE(H2:H11)</f>
        <v>20.147000000000002</v>
      </c>
      <c r="D22" s="8">
        <f>STDEV(G2:G11)</f>
        <v>0.039402340596015904</v>
      </c>
      <c r="E22" s="8">
        <f>STDEV(H2:H11)</f>
        <v>1.0543565705100804</v>
      </c>
      <c r="F22" s="8">
        <f>CONFIDENCE(0.9,D22,10)</f>
        <v>0.0015657547251160993</v>
      </c>
      <c r="G22" s="8">
        <f>CONFIDENCE(0.9,E22,10)</f>
        <v>0.041897607026936061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12</v>
      </c>
      <c r="B2" s="2">
        <v>0</v>
      </c>
      <c r="C2" s="2">
        <v>184</v>
      </c>
      <c r="D2" s="9">
        <v>0.26300000000000001</v>
      </c>
      <c r="E2" s="10">
        <v>15.32</v>
      </c>
      <c r="F2" s="2">
        <v>374</v>
      </c>
      <c r="G2" s="9">
        <v>0.53400000000000003</v>
      </c>
      <c r="H2" s="10">
        <v>19.940000000000001</v>
      </c>
      <c r="I2" s="2"/>
    </row>
    <row r="3" ht="14.25">
      <c r="A3" s="2">
        <v>12</v>
      </c>
      <c r="B3" s="2">
        <v>1</v>
      </c>
      <c r="C3" s="2">
        <v>167</v>
      </c>
      <c r="D3" s="9">
        <v>0.23899999999999999</v>
      </c>
      <c r="E3" s="10">
        <v>15.609999999999999</v>
      </c>
      <c r="F3" s="2">
        <v>334</v>
      </c>
      <c r="G3" s="9">
        <v>0.47700000000000004</v>
      </c>
      <c r="H3" s="10">
        <v>19.82</v>
      </c>
      <c r="I3" s="2"/>
    </row>
    <row r="4" ht="14.25">
      <c r="A4" s="2">
        <v>12</v>
      </c>
      <c r="B4" s="2">
        <v>2</v>
      </c>
      <c r="C4" s="2">
        <v>185</v>
      </c>
      <c r="D4" s="9">
        <v>0.26400000000000001</v>
      </c>
      <c r="E4" s="10">
        <v>15.81</v>
      </c>
      <c r="F4" s="2">
        <v>335</v>
      </c>
      <c r="G4" s="9">
        <v>0.47899999999999998</v>
      </c>
      <c r="H4" s="10">
        <v>19.170000000000002</v>
      </c>
      <c r="I4" s="2"/>
    </row>
    <row r="5" ht="14.25">
      <c r="A5" s="2">
        <v>12</v>
      </c>
      <c r="B5" s="2">
        <v>3</v>
      </c>
      <c r="C5" s="2">
        <v>215</v>
      </c>
      <c r="D5" s="9">
        <v>0.307</v>
      </c>
      <c r="E5" s="10">
        <v>16.710000000000001</v>
      </c>
      <c r="F5" s="2">
        <v>380</v>
      </c>
      <c r="G5" s="9">
        <v>0.54299999999999993</v>
      </c>
      <c r="H5" s="10">
        <v>20.280000000000001</v>
      </c>
      <c r="I5" s="2"/>
    </row>
    <row r="6" ht="14.25">
      <c r="A6" s="2">
        <v>12</v>
      </c>
      <c r="B6" s="2">
        <v>4</v>
      </c>
      <c r="C6" s="2">
        <v>197</v>
      </c>
      <c r="D6" s="9">
        <v>0.28100000000000003</v>
      </c>
      <c r="E6" s="10">
        <v>16.870000000000001</v>
      </c>
      <c r="F6" s="2">
        <v>339</v>
      </c>
      <c r="G6" s="9">
        <v>0.48399999999999999</v>
      </c>
      <c r="H6" s="10">
        <v>20.25</v>
      </c>
      <c r="I6" s="2"/>
    </row>
    <row r="7" ht="14.25">
      <c r="A7" s="2">
        <v>12</v>
      </c>
      <c r="B7" s="2">
        <v>5</v>
      </c>
      <c r="C7" s="2">
        <v>195</v>
      </c>
      <c r="D7" s="9">
        <v>0.27899999999999997</v>
      </c>
      <c r="E7" s="11">
        <v>15.74</v>
      </c>
      <c r="F7" s="2">
        <v>328</v>
      </c>
      <c r="G7" s="9">
        <v>0.46899999999999997</v>
      </c>
      <c r="H7" s="11">
        <v>19.469999999999999</v>
      </c>
      <c r="I7" s="2"/>
    </row>
    <row r="8" ht="14.25">
      <c r="A8" s="2">
        <v>12</v>
      </c>
      <c r="B8" s="2">
        <v>6</v>
      </c>
      <c r="C8" s="2">
        <v>224</v>
      </c>
      <c r="D8" s="9">
        <v>0.32000000000000001</v>
      </c>
      <c r="E8" s="10">
        <v>17.129999999999999</v>
      </c>
      <c r="F8" s="2">
        <v>337</v>
      </c>
      <c r="G8" s="9">
        <v>0.48100000000000004</v>
      </c>
      <c r="H8" s="10">
        <v>19.670000000000002</v>
      </c>
      <c r="I8" s="2"/>
    </row>
    <row r="9" ht="14.25">
      <c r="A9" s="2">
        <v>12</v>
      </c>
      <c r="B9" s="2">
        <v>7</v>
      </c>
      <c r="C9" s="2">
        <v>196</v>
      </c>
      <c r="D9" s="9">
        <v>0.28000000000000003</v>
      </c>
      <c r="E9" s="10">
        <v>15.81</v>
      </c>
      <c r="F9" s="2">
        <v>364</v>
      </c>
      <c r="G9" s="9">
        <v>0.52000000000000002</v>
      </c>
      <c r="H9" s="10">
        <v>20.23</v>
      </c>
      <c r="I9" s="2"/>
    </row>
    <row r="10" ht="14.25">
      <c r="A10" s="2">
        <v>12</v>
      </c>
      <c r="B10" s="2">
        <v>8</v>
      </c>
      <c r="C10" s="2">
        <v>173</v>
      </c>
      <c r="D10" s="9">
        <v>0.247</v>
      </c>
      <c r="E10" s="10">
        <v>16.329999999999998</v>
      </c>
      <c r="F10" s="2">
        <v>295</v>
      </c>
      <c r="G10" s="9">
        <v>0.42100000000000004</v>
      </c>
      <c r="H10" s="10">
        <v>18.780000000000001</v>
      </c>
      <c r="I10" s="2"/>
    </row>
    <row r="11" ht="14.25">
      <c r="A11" s="2">
        <v>12</v>
      </c>
      <c r="B11" s="2">
        <v>9</v>
      </c>
      <c r="C11" s="2">
        <v>185</v>
      </c>
      <c r="D11" s="9">
        <v>0.26400000000000001</v>
      </c>
      <c r="E11" s="10">
        <v>15.91</v>
      </c>
      <c r="F11" s="2">
        <v>337</v>
      </c>
      <c r="G11" s="9">
        <v>0.48100000000000004</v>
      </c>
      <c r="H11" s="10">
        <v>20.18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12</v>
      </c>
      <c r="B17" s="4">
        <f>AVERAGE(D2:D11)</f>
        <v>0.27439999999999998</v>
      </c>
      <c r="C17" s="10">
        <f>AVERAGE(E2:E11)</f>
        <v>16.123999999999999</v>
      </c>
      <c r="D17" s="6">
        <f>STDEV(D2:D11)</f>
        <v>0.024918533932262815</v>
      </c>
      <c r="E17" s="6">
        <f>STDEV(E2:E11)</f>
        <v>0.6014279304750948</v>
      </c>
      <c r="F17" s="6">
        <f>CONFIDENCE(0.9,D17,10)</f>
        <v>0.00099020290818336372</v>
      </c>
      <c r="G17" s="6">
        <f>CONFIDENCE(0.9,E17,10)</f>
        <v>0.023899306734417543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12</v>
      </c>
      <c r="B22" s="4">
        <f>AVERAGE(G2:G11)</f>
        <v>0.4889</v>
      </c>
      <c r="C22" s="12">
        <f>AVERAGE(H2:H11)</f>
        <v>19.779000000000003</v>
      </c>
      <c r="D22" s="8">
        <f>STDEV(G2:G11)</f>
        <v>0.035469705383608684</v>
      </c>
      <c r="E22" s="8">
        <f>STDEV(H2:H11)</f>
        <v>0.50999891067421765</v>
      </c>
      <c r="F22" s="8">
        <f>CONFIDENCE(0.9,D22,10)</f>
        <v>0.0014094812126078814</v>
      </c>
      <c r="G22" s="8">
        <f>CONFIDENCE(0.9,E22,10)</f>
        <v>0.020266136278030193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11</v>
      </c>
      <c r="B2" s="2">
        <v>0</v>
      </c>
      <c r="C2" s="2">
        <v>242</v>
      </c>
      <c r="D2" s="9">
        <v>0.34600000000000003</v>
      </c>
      <c r="E2" s="10">
        <v>18.25</v>
      </c>
      <c r="F2" s="2">
        <v>371</v>
      </c>
      <c r="G2" s="9">
        <v>0.53000000000000003</v>
      </c>
      <c r="H2" s="10">
        <v>20.449999999999999</v>
      </c>
      <c r="I2" s="2"/>
    </row>
    <row r="3" ht="14.25">
      <c r="A3" s="2">
        <v>11</v>
      </c>
      <c r="B3" s="2">
        <v>1</v>
      </c>
      <c r="C3" s="2">
        <v>212</v>
      </c>
      <c r="D3" s="9">
        <v>0.30299999999999999</v>
      </c>
      <c r="E3" s="10">
        <v>17.32</v>
      </c>
      <c r="F3" s="2">
        <v>359</v>
      </c>
      <c r="G3" s="9">
        <v>0.51300000000000001</v>
      </c>
      <c r="H3" s="10">
        <v>20.789999999999999</v>
      </c>
      <c r="I3" s="2"/>
    </row>
    <row r="4" ht="14.25">
      <c r="A4" s="2">
        <v>11</v>
      </c>
      <c r="B4" s="2">
        <v>2</v>
      </c>
      <c r="C4" s="2">
        <v>219</v>
      </c>
      <c r="D4" s="9">
        <v>0.313</v>
      </c>
      <c r="E4" s="10">
        <v>17.010000000000002</v>
      </c>
      <c r="F4" s="2">
        <v>403</v>
      </c>
      <c r="G4" s="9">
        <v>0.57600000000000007</v>
      </c>
      <c r="H4" s="10">
        <v>20.98</v>
      </c>
      <c r="I4" s="2"/>
    </row>
    <row r="5" ht="14.25">
      <c r="A5" s="2">
        <v>11</v>
      </c>
      <c r="B5" s="2">
        <v>3</v>
      </c>
      <c r="C5" s="2">
        <v>239</v>
      </c>
      <c r="D5" s="9">
        <v>0.34100000000000003</v>
      </c>
      <c r="E5" s="10">
        <v>17.059999999999999</v>
      </c>
      <c r="F5" s="2">
        <v>383</v>
      </c>
      <c r="G5" s="9">
        <v>0.54700000000000004</v>
      </c>
      <c r="H5" s="10">
        <v>20.260000000000002</v>
      </c>
      <c r="I5" s="2"/>
    </row>
    <row r="6" ht="14.25">
      <c r="A6" s="2">
        <v>11</v>
      </c>
      <c r="B6" s="2">
        <v>4</v>
      </c>
      <c r="C6" s="2">
        <v>182</v>
      </c>
      <c r="D6" s="9">
        <v>0.26000000000000001</v>
      </c>
      <c r="E6" s="10">
        <v>15.539999999999999</v>
      </c>
      <c r="F6" s="2">
        <v>332</v>
      </c>
      <c r="G6" s="9">
        <v>0.47399999999999998</v>
      </c>
      <c r="H6" s="10">
        <v>18.899999999999999</v>
      </c>
      <c r="I6" s="2"/>
    </row>
    <row r="7" ht="14.25">
      <c r="A7" s="2">
        <v>11</v>
      </c>
      <c r="B7" s="2">
        <v>5</v>
      </c>
      <c r="C7" s="2">
        <v>201</v>
      </c>
      <c r="D7" s="9">
        <v>0.28699999999999998</v>
      </c>
      <c r="E7" s="11">
        <v>16.829999999999998</v>
      </c>
      <c r="F7" s="2">
        <v>360</v>
      </c>
      <c r="G7" s="9">
        <v>0.51400000000000001</v>
      </c>
      <c r="H7" s="11">
        <v>20.789999999999999</v>
      </c>
      <c r="I7" s="2"/>
    </row>
    <row r="8" ht="14.25">
      <c r="A8" s="2">
        <v>11</v>
      </c>
      <c r="B8" s="2">
        <v>6</v>
      </c>
      <c r="C8" s="2">
        <v>177</v>
      </c>
      <c r="D8" s="9">
        <v>0.253</v>
      </c>
      <c r="E8" s="10">
        <v>15.4</v>
      </c>
      <c r="F8" s="2">
        <v>374</v>
      </c>
      <c r="G8" s="9">
        <v>0.53400000000000003</v>
      </c>
      <c r="H8" s="10">
        <v>20.300000000000001</v>
      </c>
      <c r="I8" s="2"/>
    </row>
    <row r="9" ht="14.25">
      <c r="A9" s="2">
        <v>11</v>
      </c>
      <c r="B9" s="2">
        <v>7</v>
      </c>
      <c r="C9" s="2">
        <v>169</v>
      </c>
      <c r="D9" s="9">
        <v>0.24100000000000002</v>
      </c>
      <c r="E9" s="10">
        <v>14.970000000000001</v>
      </c>
      <c r="F9" s="2">
        <v>382</v>
      </c>
      <c r="G9" s="9">
        <v>0.54600000000000004</v>
      </c>
      <c r="H9" s="10">
        <v>20.43</v>
      </c>
      <c r="I9" s="2"/>
    </row>
    <row r="10" ht="14.25">
      <c r="A10" s="2">
        <v>11</v>
      </c>
      <c r="B10" s="2">
        <v>8</v>
      </c>
      <c r="C10" s="2">
        <v>214</v>
      </c>
      <c r="D10" s="9">
        <v>0.30599999999999999</v>
      </c>
      <c r="E10" s="10">
        <v>16.43</v>
      </c>
      <c r="F10" s="2">
        <v>330</v>
      </c>
      <c r="G10" s="9">
        <v>0.47100000000000003</v>
      </c>
      <c r="H10" s="10">
        <v>19.399999999999999</v>
      </c>
      <c r="I10" s="2"/>
    </row>
    <row r="11" ht="14.25">
      <c r="A11" s="2">
        <v>11</v>
      </c>
      <c r="B11" s="2">
        <v>9</v>
      </c>
      <c r="C11" s="2">
        <v>252</v>
      </c>
      <c r="D11" s="9">
        <v>0.35999999999999999</v>
      </c>
      <c r="E11" s="10">
        <v>17.52</v>
      </c>
      <c r="F11" s="2">
        <v>398</v>
      </c>
      <c r="G11" s="9">
        <v>0.56899999999999995</v>
      </c>
      <c r="H11" s="10">
        <v>21.120000000000001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11</v>
      </c>
      <c r="B17" s="4">
        <f>AVERAGE(D2:D11)</f>
        <v>0.30099999999999999</v>
      </c>
      <c r="C17" s="10">
        <f>AVERAGE(E2:E11)</f>
        <v>16.633000000000003</v>
      </c>
      <c r="D17" s="6">
        <f>STDEV(D2:D11)</f>
        <v>0.040906397217713192</v>
      </c>
      <c r="E17" s="6">
        <f>STDEV(E2:E11)</f>
        <v>1.0412817955662999</v>
      </c>
      <c r="F17" s="6">
        <f>CONFIDENCE(0.9,D17,10)</f>
        <v>0.0016255223360407865</v>
      </c>
      <c r="G17" s="6">
        <f>CONFIDENCE(0.9,E17,10)</f>
        <v>0.041378046758728949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11</v>
      </c>
      <c r="B22" s="4">
        <f>AVERAGE(G2:G11)</f>
        <v>0.52740000000000009</v>
      </c>
      <c r="C22" s="12">
        <f>AVERAGE(H2:H11)</f>
        <v>20.342000000000002</v>
      </c>
      <c r="D22" s="8">
        <f>STDEV(G2:G11)</f>
        <v>0.035421901573900738</v>
      </c>
      <c r="E22" s="8">
        <f>STDEV(H2:H11)</f>
        <v>0.69986982916666618</v>
      </c>
      <c r="F22" s="8">
        <f>CONFIDENCE(0.9,D22,10)</f>
        <v>0.0014075816036050511</v>
      </c>
      <c r="G22" s="8">
        <f>CONFIDENCE(0.9,E22,10)</f>
        <v>0.027811152216036302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10</v>
      </c>
      <c r="B2" s="2">
        <v>0</v>
      </c>
      <c r="C2" s="2">
        <v>207</v>
      </c>
      <c r="D2" s="9">
        <v>0.29600000000000004</v>
      </c>
      <c r="E2" s="10">
        <v>16.850000000000001</v>
      </c>
      <c r="F2" s="2">
        <v>351</v>
      </c>
      <c r="G2" s="9">
        <v>0.501</v>
      </c>
      <c r="H2" s="10">
        <v>20.579999999999998</v>
      </c>
      <c r="I2" s="2"/>
    </row>
    <row r="3" ht="14.25">
      <c r="A3" s="2">
        <v>10</v>
      </c>
      <c r="B3" s="2">
        <v>1</v>
      </c>
      <c r="C3" s="2">
        <v>229</v>
      </c>
      <c r="D3" s="9">
        <v>0.32700000000000001</v>
      </c>
      <c r="E3" s="10">
        <v>17.18</v>
      </c>
      <c r="F3" s="2">
        <v>387</v>
      </c>
      <c r="G3" s="9">
        <v>0.55299999999999994</v>
      </c>
      <c r="H3" s="10">
        <v>20.77</v>
      </c>
      <c r="I3" s="2"/>
    </row>
    <row r="4" ht="14.25">
      <c r="A4" s="2">
        <v>10</v>
      </c>
      <c r="B4" s="2">
        <v>2</v>
      </c>
      <c r="C4" s="2">
        <v>151</v>
      </c>
      <c r="D4" s="9">
        <v>0.21600000000000003</v>
      </c>
      <c r="E4" s="10">
        <v>13.869999999999999</v>
      </c>
      <c r="F4" s="2">
        <v>304</v>
      </c>
      <c r="G4" s="9">
        <v>0.434</v>
      </c>
      <c r="H4" s="10">
        <v>17.649999999999999</v>
      </c>
      <c r="I4" s="2"/>
    </row>
    <row r="5" ht="14.25">
      <c r="A5" s="2">
        <v>10</v>
      </c>
      <c r="B5" s="2">
        <v>3</v>
      </c>
      <c r="C5" s="2">
        <v>160</v>
      </c>
      <c r="D5" s="9">
        <v>0.22899999999999998</v>
      </c>
      <c r="E5" s="10">
        <v>14.640000000000001</v>
      </c>
      <c r="F5" s="2">
        <v>334</v>
      </c>
      <c r="G5" s="9">
        <v>0.47700000000000004</v>
      </c>
      <c r="H5" s="10">
        <v>19.280000000000001</v>
      </c>
      <c r="I5" s="2"/>
    </row>
    <row r="6" ht="14.25">
      <c r="A6" s="2">
        <v>10</v>
      </c>
      <c r="B6" s="2">
        <v>4</v>
      </c>
      <c r="C6" s="2">
        <v>138</v>
      </c>
      <c r="D6" s="9">
        <v>0.19699999999999998</v>
      </c>
      <c r="E6" s="10">
        <v>14.710000000000001</v>
      </c>
      <c r="F6" s="2">
        <v>345</v>
      </c>
      <c r="G6" s="9">
        <v>0.49299999999999999</v>
      </c>
      <c r="H6" s="10">
        <v>19.760000000000002</v>
      </c>
      <c r="I6" s="2"/>
    </row>
    <row r="7" ht="14.25">
      <c r="A7" s="2">
        <v>10</v>
      </c>
      <c r="B7" s="2">
        <v>5</v>
      </c>
      <c r="C7" s="2">
        <v>229</v>
      </c>
      <c r="D7" s="9">
        <v>0.32700000000000001</v>
      </c>
      <c r="E7" s="11">
        <v>16.940000000000001</v>
      </c>
      <c r="F7" s="2">
        <v>330</v>
      </c>
      <c r="G7" s="9">
        <v>0.47100000000000003</v>
      </c>
      <c r="H7" s="11">
        <v>19.59</v>
      </c>
      <c r="I7" s="2"/>
    </row>
    <row r="8" ht="14.25">
      <c r="A8" s="2">
        <v>10</v>
      </c>
      <c r="B8" s="2">
        <v>6</v>
      </c>
      <c r="C8" s="2">
        <v>227</v>
      </c>
      <c r="D8" s="9">
        <v>0.32400000000000001</v>
      </c>
      <c r="E8" s="10">
        <v>17.300000000000001</v>
      </c>
      <c r="F8" s="2">
        <v>365</v>
      </c>
      <c r="G8" s="9">
        <v>0.52100000000000002</v>
      </c>
      <c r="H8" s="10">
        <v>20.739999999999998</v>
      </c>
      <c r="I8" s="2"/>
    </row>
    <row r="9" ht="14.25">
      <c r="A9" s="2">
        <v>10</v>
      </c>
      <c r="B9" s="2">
        <v>7</v>
      </c>
      <c r="C9" s="2">
        <v>215</v>
      </c>
      <c r="D9" s="9">
        <v>0.307</v>
      </c>
      <c r="E9" s="10">
        <v>17.489999999999998</v>
      </c>
      <c r="F9" s="2">
        <v>342</v>
      </c>
      <c r="G9" s="9">
        <v>0.48899999999999999</v>
      </c>
      <c r="H9" s="10">
        <v>20.23</v>
      </c>
      <c r="I9" s="2"/>
    </row>
    <row r="10" ht="14.25">
      <c r="A10" s="2">
        <v>10</v>
      </c>
      <c r="B10" s="2">
        <v>8</v>
      </c>
      <c r="C10" s="2">
        <v>188</v>
      </c>
      <c r="D10" s="9">
        <v>0.26899999999999996</v>
      </c>
      <c r="E10" s="10">
        <v>16.75</v>
      </c>
      <c r="F10" s="2">
        <v>291</v>
      </c>
      <c r="G10" s="9">
        <v>0.41600000000000004</v>
      </c>
      <c r="H10" s="10">
        <v>18.93</v>
      </c>
      <c r="I10" s="2"/>
    </row>
    <row r="11" ht="14.25">
      <c r="A11" s="2">
        <v>10</v>
      </c>
      <c r="B11" s="2">
        <v>9</v>
      </c>
      <c r="C11" s="2">
        <v>241</v>
      </c>
      <c r="D11" s="9">
        <v>0.34399999999999997</v>
      </c>
      <c r="E11" s="10">
        <v>17.309999999999999</v>
      </c>
      <c r="F11" s="2">
        <v>375</v>
      </c>
      <c r="G11" s="9">
        <v>0.53600000000000003</v>
      </c>
      <c r="H11" s="10">
        <v>20.350000000000001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10</v>
      </c>
      <c r="B17" s="4">
        <f>AVERAGE(D2:D11)</f>
        <v>0.28360000000000002</v>
      </c>
      <c r="C17" s="10">
        <f>AVERAGE(E2:E11)</f>
        <v>16.303999999999998</v>
      </c>
      <c r="D17" s="6">
        <f>STDEV(D2:D11)</f>
        <v>0.052717696796764142</v>
      </c>
      <c r="E17" s="6">
        <f>STDEV(E2:E11)</f>
        <v>1.3463382437807621</v>
      </c>
      <c r="F17" s="6">
        <f>CONFIDENCE(0.9,D17,10)</f>
        <v>0.0020948751167619087</v>
      </c>
      <c r="G17" s="6">
        <f>CONFIDENCE(0.9,E17,10)</f>
        <v>0.05350026000783794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10</v>
      </c>
      <c r="B22" s="4">
        <f>AVERAGE(G2:G11)</f>
        <v>0.48909999999999998</v>
      </c>
      <c r="C22" s="12">
        <f>AVERAGE(H2:H11)</f>
        <v>19.788</v>
      </c>
      <c r="D22" s="8">
        <f>STDEV(G2:G11)</f>
        <v>0.042571377969502243</v>
      </c>
      <c r="E22" s="8">
        <f>STDEV(H2:H11)</f>
        <v>0.97834099940210584</v>
      </c>
      <c r="F22" s="8">
        <f>CONFIDENCE(0.9,D22,10)</f>
        <v>0.0016916846868023719</v>
      </c>
      <c r="G22" s="8">
        <f>CONFIDENCE(0.9,E22,10)</f>
        <v>0.038876930137077784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9</v>
      </c>
      <c r="B2" s="2">
        <v>0</v>
      </c>
      <c r="C2" s="2">
        <v>221</v>
      </c>
      <c r="D2" s="9">
        <v>0.31569999999999998</v>
      </c>
      <c r="E2" s="10">
        <v>16.98</v>
      </c>
      <c r="F2" s="2">
        <v>366</v>
      </c>
      <c r="G2" s="9">
        <v>0.52290000000000003</v>
      </c>
      <c r="H2" s="10">
        <v>19.969999999999999</v>
      </c>
      <c r="I2" s="2"/>
    </row>
    <row r="3" ht="14.25">
      <c r="A3" s="2">
        <v>9</v>
      </c>
      <c r="B3" s="2">
        <v>1</v>
      </c>
      <c r="C3" s="2">
        <v>177</v>
      </c>
      <c r="D3" s="9">
        <v>0.25290000000000001</v>
      </c>
      <c r="E3" s="10">
        <v>15.57</v>
      </c>
      <c r="F3" s="2">
        <v>375</v>
      </c>
      <c r="G3" s="9">
        <v>0.53569999999999995</v>
      </c>
      <c r="H3" s="10">
        <v>20.920000000000002</v>
      </c>
      <c r="I3" s="2"/>
    </row>
    <row r="4" ht="14.25">
      <c r="A4" s="2">
        <v>9</v>
      </c>
      <c r="B4" s="2">
        <v>2</v>
      </c>
      <c r="C4" s="2">
        <v>139</v>
      </c>
      <c r="D4" s="9">
        <v>0.1986</v>
      </c>
      <c r="E4" s="10">
        <v>14.58</v>
      </c>
      <c r="F4" s="2">
        <v>361</v>
      </c>
      <c r="G4" s="9">
        <v>0.51570000000000005</v>
      </c>
      <c r="H4" s="10">
        <v>20.32</v>
      </c>
      <c r="I4" s="2"/>
    </row>
    <row r="5" ht="14.25">
      <c r="A5" s="2">
        <v>9</v>
      </c>
      <c r="B5" s="2">
        <v>3</v>
      </c>
      <c r="C5" s="2">
        <v>256</v>
      </c>
      <c r="D5" s="9">
        <v>0.36570000000000003</v>
      </c>
      <c r="E5" s="10">
        <v>17.859999999999999</v>
      </c>
      <c r="F5" s="2">
        <v>374</v>
      </c>
      <c r="G5" s="9">
        <v>0.5343</v>
      </c>
      <c r="H5" s="10">
        <v>20.989999999999998</v>
      </c>
      <c r="I5" s="2"/>
    </row>
    <row r="6" ht="14.25">
      <c r="A6" s="2">
        <v>9</v>
      </c>
      <c r="B6" s="2">
        <v>4</v>
      </c>
      <c r="C6" s="2">
        <v>248</v>
      </c>
      <c r="D6" s="9">
        <v>0.3543</v>
      </c>
      <c r="E6" s="10">
        <v>17.109999999999999</v>
      </c>
      <c r="F6" s="2">
        <v>355</v>
      </c>
      <c r="G6" s="9">
        <v>0.5071</v>
      </c>
      <c r="H6" s="10">
        <v>20.41</v>
      </c>
      <c r="I6" s="2"/>
    </row>
    <row r="7" ht="14.25">
      <c r="A7" s="2">
        <v>9</v>
      </c>
      <c r="B7" s="2">
        <v>5</v>
      </c>
      <c r="C7" s="2">
        <v>202</v>
      </c>
      <c r="D7" s="9">
        <v>0.28860000000000002</v>
      </c>
      <c r="E7" s="11">
        <v>16.5</v>
      </c>
      <c r="F7" s="2">
        <v>361</v>
      </c>
      <c r="G7" s="9">
        <v>0.51570000000000005</v>
      </c>
      <c r="H7" s="11">
        <v>20.300000000000001</v>
      </c>
      <c r="I7" s="2"/>
    </row>
    <row r="8" ht="14.25">
      <c r="A8" s="2">
        <v>9</v>
      </c>
      <c r="B8" s="2">
        <v>6</v>
      </c>
      <c r="C8" s="2">
        <v>247</v>
      </c>
      <c r="D8" s="9">
        <v>0.35289999999999999</v>
      </c>
      <c r="E8" s="10">
        <v>17.640000000000001</v>
      </c>
      <c r="F8" s="2">
        <v>396</v>
      </c>
      <c r="G8" s="9">
        <v>0.56569999999999998</v>
      </c>
      <c r="H8" s="10">
        <v>20.989999999999998</v>
      </c>
      <c r="I8" s="2"/>
    </row>
    <row r="9" ht="14.25">
      <c r="A9" s="2">
        <v>9</v>
      </c>
      <c r="B9" s="2">
        <v>7</v>
      </c>
      <c r="C9" s="2">
        <v>170</v>
      </c>
      <c r="D9" s="9">
        <v>0.2429</v>
      </c>
      <c r="E9" s="10">
        <v>14.98</v>
      </c>
      <c r="F9" s="2">
        <v>379</v>
      </c>
      <c r="G9" s="9">
        <v>0.54139999999999999</v>
      </c>
      <c r="H9" s="10">
        <v>19.620000000000001</v>
      </c>
      <c r="I9" s="2"/>
    </row>
    <row r="10" ht="14.25">
      <c r="A10" s="2">
        <v>9</v>
      </c>
      <c r="B10" s="2">
        <v>8</v>
      </c>
      <c r="C10" s="2">
        <v>211</v>
      </c>
      <c r="D10" s="9">
        <v>0.3014</v>
      </c>
      <c r="E10" s="10">
        <v>17.289999999999999</v>
      </c>
      <c r="F10" s="2">
        <v>356</v>
      </c>
      <c r="G10" s="9">
        <v>0.50860000000000005</v>
      </c>
      <c r="H10" s="10">
        <v>20.52</v>
      </c>
      <c r="I10" s="2"/>
    </row>
    <row r="11" ht="14.25">
      <c r="A11" s="2">
        <v>9</v>
      </c>
      <c r="B11" s="2">
        <v>9</v>
      </c>
      <c r="C11" s="2">
        <v>223</v>
      </c>
      <c r="D11" s="9">
        <v>0.31859999999999999</v>
      </c>
      <c r="E11" s="10">
        <v>17.25</v>
      </c>
      <c r="F11" s="2">
        <v>374</v>
      </c>
      <c r="G11" s="9">
        <v>0.5343</v>
      </c>
      <c r="H11" s="10">
        <v>20.809999999999999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9</v>
      </c>
      <c r="B17" s="4">
        <f>AVERAGE(D2:D11)</f>
        <v>0.29916000000000004</v>
      </c>
      <c r="C17" s="10">
        <f>AVERAGE(E2:E11)</f>
        <v>16.576000000000001</v>
      </c>
      <c r="D17" s="6">
        <f>STDEV(D2:D11)</f>
        <v>0.054305191075787386</v>
      </c>
      <c r="E17" s="6">
        <f>STDEV(E2:E11)</f>
        <v>1.1422317336396031</v>
      </c>
      <c r="F17" s="6">
        <f>CONFIDENCE(0.9,D17,10)</f>
        <v>0.0021579583405216349</v>
      </c>
      <c r="G17" s="6">
        <f>CONFIDENCE(0.9,E17,10)</f>
        <v>0.04538955572361604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9</v>
      </c>
      <c r="B22" s="4">
        <f>AVERAGE(G2:G11)</f>
        <v>0.52814000000000005</v>
      </c>
      <c r="C22" s="12">
        <f>AVERAGE(H2:H11)</f>
        <v>20.485000000000003</v>
      </c>
      <c r="D22" s="8">
        <f>STDEV(G2:G11)</f>
        <v>0.017891910027843412</v>
      </c>
      <c r="E22" s="8">
        <f>STDEV(H2:H11)</f>
        <v>0.4578512616317415</v>
      </c>
      <c r="F22" s="8">
        <f>CONFIDENCE(0.9,D22,10)</f>
        <v>0.00071098168899845916</v>
      </c>
      <c r="G22" s="8">
        <f>CONFIDENCE(0.9,E22,10)</f>
        <v>0.018193913494894083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8</v>
      </c>
      <c r="B2" s="2">
        <v>0</v>
      </c>
      <c r="C2" s="2">
        <v>236</v>
      </c>
      <c r="D2" s="9">
        <v>0.33700000000000002</v>
      </c>
      <c r="E2" s="10">
        <v>17.09</v>
      </c>
      <c r="F2" s="2">
        <v>395</v>
      </c>
      <c r="G2" s="9">
        <v>0.56399999999999995</v>
      </c>
      <c r="H2" s="10">
        <v>20.57</v>
      </c>
      <c r="I2" s="2"/>
    </row>
    <row r="3" ht="14.25">
      <c r="A3" s="2">
        <v>8</v>
      </c>
      <c r="B3" s="2">
        <v>1</v>
      </c>
      <c r="C3" s="2">
        <v>262</v>
      </c>
      <c r="D3" s="9">
        <v>0.374</v>
      </c>
      <c r="E3" s="10">
        <v>17.75</v>
      </c>
      <c r="F3" s="2">
        <v>405</v>
      </c>
      <c r="G3" s="9">
        <v>0.57899999999999996</v>
      </c>
      <c r="H3" s="10">
        <v>21.07</v>
      </c>
      <c r="I3" s="2"/>
    </row>
    <row r="4" ht="14.25">
      <c r="A4" s="2">
        <v>8</v>
      </c>
      <c r="B4" s="2">
        <v>2</v>
      </c>
      <c r="C4" s="2">
        <v>207</v>
      </c>
      <c r="D4" s="9">
        <v>0.29600000000000004</v>
      </c>
      <c r="E4" s="10">
        <v>17</v>
      </c>
      <c r="F4" s="2">
        <v>402</v>
      </c>
      <c r="G4" s="9">
        <v>0.57399999999999995</v>
      </c>
      <c r="H4" s="10">
        <v>21.170000000000002</v>
      </c>
      <c r="I4" s="2"/>
    </row>
    <row r="5" ht="14.25">
      <c r="A5" s="2">
        <v>8</v>
      </c>
      <c r="B5" s="2">
        <v>3</v>
      </c>
      <c r="C5" s="2">
        <v>197</v>
      </c>
      <c r="D5" s="9">
        <v>0.28100000000000003</v>
      </c>
      <c r="E5" s="10">
        <v>15.539999999999999</v>
      </c>
      <c r="F5" s="2">
        <v>389</v>
      </c>
      <c r="G5" s="9">
        <v>0.55600000000000005</v>
      </c>
      <c r="H5" s="10">
        <v>20.899999999999999</v>
      </c>
      <c r="I5" s="2"/>
    </row>
    <row r="6" ht="14.25">
      <c r="A6" s="2">
        <v>8</v>
      </c>
      <c r="B6" s="2">
        <v>4</v>
      </c>
      <c r="C6" s="2">
        <v>247</v>
      </c>
      <c r="D6" s="9">
        <v>0.35299999999999998</v>
      </c>
      <c r="E6" s="10">
        <v>17.219999999999999</v>
      </c>
      <c r="F6" s="2">
        <v>396</v>
      </c>
      <c r="G6" s="9">
        <v>0.56600000000000006</v>
      </c>
      <c r="H6" s="10">
        <v>20.800000000000001</v>
      </c>
      <c r="I6" s="2"/>
    </row>
    <row r="7" ht="14.25">
      <c r="A7" s="2">
        <v>8</v>
      </c>
      <c r="B7" s="2">
        <v>5</v>
      </c>
      <c r="C7" s="2">
        <v>232</v>
      </c>
      <c r="D7" s="9">
        <v>0.33100000000000002</v>
      </c>
      <c r="E7" s="10">
        <v>17.530000000000001</v>
      </c>
      <c r="F7" s="2">
        <v>383</v>
      </c>
      <c r="G7" s="9">
        <v>0.54700000000000004</v>
      </c>
      <c r="H7" s="11">
        <v>20.620000000000001</v>
      </c>
      <c r="I7" s="2"/>
    </row>
    <row r="8" ht="14.25">
      <c r="A8" s="2">
        <v>8</v>
      </c>
      <c r="B8" s="2">
        <v>6</v>
      </c>
      <c r="C8" s="2">
        <v>233</v>
      </c>
      <c r="D8" s="9">
        <v>0.33299999999999996</v>
      </c>
      <c r="E8" s="10">
        <v>16.370000000000001</v>
      </c>
      <c r="F8" s="2">
        <v>351</v>
      </c>
      <c r="G8" s="9">
        <v>0.501</v>
      </c>
      <c r="H8" s="10">
        <v>20</v>
      </c>
      <c r="I8" s="2"/>
    </row>
    <row r="9" ht="14.25">
      <c r="A9" s="2">
        <v>8</v>
      </c>
      <c r="B9" s="2">
        <v>7</v>
      </c>
      <c r="C9" s="2">
        <v>200</v>
      </c>
      <c r="D9" s="9">
        <v>0.28600000000000003</v>
      </c>
      <c r="E9" s="10">
        <v>15.699999999999999</v>
      </c>
      <c r="F9" s="2">
        <v>386</v>
      </c>
      <c r="G9" s="9">
        <v>0.55100000000000005</v>
      </c>
      <c r="H9" s="10">
        <v>20.309999999999999</v>
      </c>
      <c r="I9" s="2"/>
    </row>
    <row r="10" ht="14.25">
      <c r="A10" s="2">
        <v>8</v>
      </c>
      <c r="B10" s="2">
        <v>8</v>
      </c>
      <c r="C10" s="2">
        <v>260</v>
      </c>
      <c r="D10" s="9">
        <v>0.371</v>
      </c>
      <c r="E10" s="10">
        <v>18.050000000000001</v>
      </c>
      <c r="F10" s="2">
        <v>375</v>
      </c>
      <c r="G10" s="9">
        <v>0.53600000000000003</v>
      </c>
      <c r="H10" s="10">
        <v>20.530000000000001</v>
      </c>
      <c r="I10" s="2"/>
    </row>
    <row r="11" ht="14.25">
      <c r="A11" s="2">
        <v>8</v>
      </c>
      <c r="B11" s="2">
        <v>9</v>
      </c>
      <c r="C11" s="2">
        <v>215</v>
      </c>
      <c r="D11" s="9">
        <v>0.307</v>
      </c>
      <c r="E11" s="10">
        <v>16.23</v>
      </c>
      <c r="F11" s="2">
        <v>369</v>
      </c>
      <c r="G11" s="9">
        <v>0.52700000000000002</v>
      </c>
      <c r="H11" s="10">
        <v>20.539999999999999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8</v>
      </c>
      <c r="B17" s="4">
        <f>AVERAGE(D2:D11)</f>
        <v>0.32690000000000002</v>
      </c>
      <c r="C17" s="10">
        <f>AVERAGE(E2:E11)</f>
        <v>16.847999999999999</v>
      </c>
      <c r="D17" s="6">
        <f>STDEV(D2:D11)</f>
        <v>0.033550790684506296</v>
      </c>
      <c r="E17" s="6">
        <f>STDEV(E2:E11)</f>
        <v>0.85522966376159926</v>
      </c>
      <c r="F17" s="6">
        <f>CONFIDENCE(0.9,D17,10)</f>
        <v>0.0013332281344463747</v>
      </c>
      <c r="G17" s="6">
        <f>CONFIDENCE(0.9,E17,10)</f>
        <v>0.033984780265301689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8</v>
      </c>
      <c r="B22" s="4">
        <f>AVERAGE(G2:G11)</f>
        <v>0.55010000000000003</v>
      </c>
      <c r="C22" s="12">
        <f>AVERAGE(H2:H11)</f>
        <v>20.651</v>
      </c>
      <c r="D22" s="8">
        <f>STDEV(G2:G11)</f>
        <v>0.02366643192371844</v>
      </c>
      <c r="E22" s="8">
        <f>STDEV(H2:H11)</f>
        <v>0.35018883794636069</v>
      </c>
      <c r="F22" s="8">
        <f>CONFIDENCE(0.9,D22,10)</f>
        <v>0.00094044737065562736</v>
      </c>
      <c r="G22" s="8">
        <f>CONFIDENCE(0.9,E22,10)</f>
        <v>0.013915666414823885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7</v>
      </c>
      <c r="B2" s="2">
        <v>0</v>
      </c>
      <c r="C2" s="2">
        <v>197</v>
      </c>
      <c r="D2" s="9">
        <v>0.28139999999999998</v>
      </c>
      <c r="E2" s="10">
        <v>17.030000000000001</v>
      </c>
      <c r="F2" s="2">
        <v>323</v>
      </c>
      <c r="G2" s="9">
        <v>0.46139999999999998</v>
      </c>
      <c r="H2" s="10">
        <v>19.280000000000001</v>
      </c>
      <c r="I2" s="2"/>
    </row>
    <row r="3" ht="14.25">
      <c r="A3" s="2">
        <v>7</v>
      </c>
      <c r="B3" s="2">
        <v>1</v>
      </c>
      <c r="C3" s="2">
        <v>274</v>
      </c>
      <c r="D3" s="9">
        <v>0.39140000000000003</v>
      </c>
      <c r="E3" s="10">
        <v>18.609999999999999</v>
      </c>
      <c r="F3" s="2">
        <v>399</v>
      </c>
      <c r="G3" s="9">
        <v>0.56999999999999995</v>
      </c>
      <c r="H3" s="10">
        <v>21.109999999999999</v>
      </c>
      <c r="I3" s="2"/>
    </row>
    <row r="4" ht="14.25">
      <c r="A4" s="2">
        <v>7</v>
      </c>
      <c r="B4" s="2">
        <v>2</v>
      </c>
      <c r="C4" s="2">
        <v>169</v>
      </c>
      <c r="D4" s="9">
        <v>0.2414</v>
      </c>
      <c r="E4" s="10">
        <v>15.960000000000001</v>
      </c>
      <c r="F4" s="2">
        <v>240</v>
      </c>
      <c r="G4" s="9">
        <v>0.34289999999999998</v>
      </c>
      <c r="H4" s="10">
        <v>17.469999999999999</v>
      </c>
      <c r="I4" s="2"/>
    </row>
    <row r="5" ht="14.25">
      <c r="A5" s="2">
        <v>7</v>
      </c>
      <c r="B5" s="2">
        <v>3</v>
      </c>
      <c r="C5" s="2">
        <v>240</v>
      </c>
      <c r="D5" s="9">
        <v>0.34289999999999998</v>
      </c>
      <c r="E5" s="10">
        <v>17.920000000000002</v>
      </c>
      <c r="F5" s="2">
        <v>378</v>
      </c>
      <c r="G5" s="9">
        <v>0.54000000000000004</v>
      </c>
      <c r="H5" s="10">
        <v>21.16</v>
      </c>
      <c r="I5" s="2"/>
    </row>
    <row r="6" ht="14.25">
      <c r="A6" s="2">
        <v>7</v>
      </c>
      <c r="B6" s="2">
        <v>4</v>
      </c>
      <c r="C6" s="2">
        <v>95</v>
      </c>
      <c r="D6" s="9">
        <v>0.13569999999999999</v>
      </c>
      <c r="E6" s="10">
        <v>13.17</v>
      </c>
      <c r="F6" s="2">
        <v>186</v>
      </c>
      <c r="G6" s="9">
        <v>0.26569999999999999</v>
      </c>
      <c r="H6" s="10">
        <v>16.170000000000002</v>
      </c>
      <c r="I6" s="2"/>
    </row>
    <row r="7" ht="14.25">
      <c r="A7" s="2">
        <v>7</v>
      </c>
      <c r="B7" s="2">
        <v>5</v>
      </c>
      <c r="C7" s="2">
        <v>184</v>
      </c>
      <c r="D7" s="9">
        <v>0.26290000000000002</v>
      </c>
      <c r="E7" s="10">
        <v>16.27</v>
      </c>
      <c r="F7" s="2">
        <v>282</v>
      </c>
      <c r="G7" s="9">
        <v>0.40289999999999998</v>
      </c>
      <c r="H7" s="11">
        <v>18.600000000000001</v>
      </c>
      <c r="I7" s="2"/>
    </row>
    <row r="8" ht="14.25">
      <c r="A8" s="2">
        <v>7</v>
      </c>
      <c r="B8" s="2">
        <v>6</v>
      </c>
      <c r="C8" s="2">
        <v>242</v>
      </c>
      <c r="D8" s="9">
        <v>0.34570000000000001</v>
      </c>
      <c r="E8" s="10">
        <v>17.789999999999999</v>
      </c>
      <c r="F8" s="2">
        <v>385</v>
      </c>
      <c r="G8" s="9">
        <v>0.55000000000000004</v>
      </c>
      <c r="H8" s="10">
        <v>21.25</v>
      </c>
      <c r="I8" s="2"/>
    </row>
    <row r="9" ht="14.25">
      <c r="A9" s="2">
        <v>7</v>
      </c>
      <c r="B9" s="2">
        <v>7</v>
      </c>
      <c r="C9" s="2">
        <v>233</v>
      </c>
      <c r="D9" s="9">
        <v>0.33289999999999997</v>
      </c>
      <c r="E9" s="10">
        <v>17.850000000000001</v>
      </c>
      <c r="F9" s="2">
        <v>376</v>
      </c>
      <c r="G9" s="9">
        <v>0.53710000000000002</v>
      </c>
      <c r="H9" s="10">
        <v>21.289999999999999</v>
      </c>
      <c r="I9" s="2"/>
    </row>
    <row r="10" ht="14.25">
      <c r="A10" s="2">
        <v>7</v>
      </c>
      <c r="B10" s="2">
        <v>8</v>
      </c>
      <c r="C10" s="2">
        <v>231</v>
      </c>
      <c r="D10" s="9">
        <v>0.33000000000000002</v>
      </c>
      <c r="E10" s="10">
        <v>17.09</v>
      </c>
      <c r="F10" s="2">
        <v>378</v>
      </c>
      <c r="G10" s="9">
        <v>0.54000000000000004</v>
      </c>
      <c r="H10" s="10">
        <v>20.93</v>
      </c>
      <c r="I10" s="2"/>
    </row>
    <row r="11" ht="14.25">
      <c r="A11" s="2">
        <v>7</v>
      </c>
      <c r="B11" s="2">
        <v>9</v>
      </c>
      <c r="C11" s="2">
        <v>236</v>
      </c>
      <c r="D11" s="9">
        <v>0.33710000000000001</v>
      </c>
      <c r="E11" s="10">
        <v>17.879999999999999</v>
      </c>
      <c r="F11" s="2">
        <v>381</v>
      </c>
      <c r="G11" s="9">
        <v>0.54430000000000001</v>
      </c>
      <c r="H11" s="10">
        <v>21.640000000000001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7</v>
      </c>
      <c r="B17" s="4">
        <f>AVERAGE(D2:D11)</f>
        <v>0.30013999999999996</v>
      </c>
      <c r="C17" s="10">
        <f>AVERAGE(E2:E11)</f>
        <v>16.957000000000001</v>
      </c>
      <c r="D17" s="6">
        <f>STDEV(D2:D11)</f>
        <v>0.07287150334664437</v>
      </c>
      <c r="E17" s="6">
        <f>STDEV(E2:E11)</f>
        <v>1.5575411533710579</v>
      </c>
      <c r="F17" s="6">
        <f>CONFIDENCE(0.9,D17,10)</f>
        <v>0.0028957391608065786</v>
      </c>
      <c r="G17" s="6">
        <f>CONFIDENCE(0.9,E17,10)</f>
        <v>0.061892958224418287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7</v>
      </c>
      <c r="B22" s="4">
        <f>AVERAGE(G2:G11)</f>
        <v>0.47542999999999991</v>
      </c>
      <c r="C22" s="12">
        <f>AVERAGE(H2:H11)</f>
        <v>19.889999999999997</v>
      </c>
      <c r="D22" s="8">
        <f>STDEV(G2:G11)</f>
        <v>0.10456115754268727</v>
      </c>
      <c r="E22" s="8">
        <f>STDEV(H2:H11)</f>
        <v>1.9086353472805868</v>
      </c>
      <c r="F22" s="8">
        <f>CONFIDENCE(0.9,D22,10)</f>
        <v>0.0041550101849184415</v>
      </c>
      <c r="G22" s="8">
        <f>CONFIDENCE(0.9,E22,10)</f>
        <v>0.075844601318693194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6</v>
      </c>
      <c r="B2" s="2">
        <v>0</v>
      </c>
      <c r="C2" s="2">
        <v>230</v>
      </c>
      <c r="D2" s="9">
        <v>0.3286</v>
      </c>
      <c r="E2" s="10">
        <v>16.460000000000001</v>
      </c>
      <c r="F2" s="2">
        <v>370</v>
      </c>
      <c r="G2" s="9">
        <v>0.52859999999999996</v>
      </c>
      <c r="H2" s="10">
        <v>19.940000000000001</v>
      </c>
      <c r="I2" s="2"/>
    </row>
    <row r="3" ht="14.25">
      <c r="A3" s="2">
        <v>6</v>
      </c>
      <c r="B3" s="2">
        <v>1</v>
      </c>
      <c r="C3" s="2">
        <v>244</v>
      </c>
      <c r="D3" s="9">
        <v>0.34860000000000002</v>
      </c>
      <c r="E3" s="10">
        <v>17.210000000000001</v>
      </c>
      <c r="F3" s="2">
        <v>393</v>
      </c>
      <c r="G3" s="9">
        <v>0.56140000000000001</v>
      </c>
      <c r="H3" s="10">
        <v>20.510000000000002</v>
      </c>
      <c r="I3" s="2"/>
    </row>
    <row r="4" ht="14.25">
      <c r="A4" s="2">
        <v>6</v>
      </c>
      <c r="B4" s="2">
        <v>2</v>
      </c>
      <c r="C4" s="2">
        <v>243</v>
      </c>
      <c r="D4" s="9">
        <v>0.34710000000000002</v>
      </c>
      <c r="E4" s="10">
        <v>18.129999999999999</v>
      </c>
      <c r="F4" s="2">
        <v>371</v>
      </c>
      <c r="G4" s="9">
        <v>0.53000000000000003</v>
      </c>
      <c r="H4" s="11">
        <v>20.899999999999999</v>
      </c>
      <c r="I4" s="2"/>
    </row>
    <row r="5" ht="14.25">
      <c r="A5" s="2">
        <v>6</v>
      </c>
      <c r="B5" s="2">
        <v>3</v>
      </c>
      <c r="C5" s="2">
        <v>204</v>
      </c>
      <c r="D5" s="9">
        <v>0.29139999999999999</v>
      </c>
      <c r="E5" s="11">
        <v>16.899999999999999</v>
      </c>
      <c r="F5" s="2">
        <v>340</v>
      </c>
      <c r="G5" s="9">
        <v>0.48570000000000002</v>
      </c>
      <c r="H5" s="10">
        <v>19.780000000000001</v>
      </c>
      <c r="I5" s="2"/>
    </row>
    <row r="6" ht="14.25">
      <c r="A6" s="2">
        <v>6</v>
      </c>
      <c r="B6" s="2">
        <v>4</v>
      </c>
      <c r="C6" s="2">
        <v>168</v>
      </c>
      <c r="D6" s="9">
        <v>0.23999999999999999</v>
      </c>
      <c r="E6" s="10">
        <v>14.74</v>
      </c>
      <c r="F6" s="2">
        <v>377</v>
      </c>
      <c r="G6" s="9">
        <v>0.53859999999999997</v>
      </c>
      <c r="H6" s="10">
        <v>19.75</v>
      </c>
      <c r="I6" s="2"/>
    </row>
    <row r="7" ht="14.25">
      <c r="A7" s="2">
        <v>6</v>
      </c>
      <c r="B7" s="2">
        <v>5</v>
      </c>
      <c r="C7" s="2">
        <v>208</v>
      </c>
      <c r="D7" s="9">
        <v>0.29709999999999998</v>
      </c>
      <c r="E7" s="10">
        <v>16.739999999999998</v>
      </c>
      <c r="F7" s="2">
        <v>370</v>
      </c>
      <c r="G7" s="9">
        <v>0.52859999999999996</v>
      </c>
      <c r="H7" s="10">
        <v>20.940000000000001</v>
      </c>
      <c r="I7" s="2"/>
    </row>
    <row r="8" ht="14.25">
      <c r="A8" s="2">
        <v>6</v>
      </c>
      <c r="B8" s="2">
        <v>6</v>
      </c>
      <c r="C8" s="2">
        <v>243</v>
      </c>
      <c r="D8" s="9">
        <v>0.34710000000000002</v>
      </c>
      <c r="E8" s="10">
        <v>17.550000000000001</v>
      </c>
      <c r="F8" s="2">
        <v>390</v>
      </c>
      <c r="G8" s="9">
        <v>0.55710000000000004</v>
      </c>
      <c r="H8" s="10">
        <v>20.82</v>
      </c>
      <c r="I8" s="2"/>
    </row>
    <row r="9" ht="14.25">
      <c r="A9" s="2">
        <v>6</v>
      </c>
      <c r="B9" s="2">
        <v>7</v>
      </c>
      <c r="C9" s="2">
        <v>194</v>
      </c>
      <c r="D9" s="9">
        <v>0.27710000000000001</v>
      </c>
      <c r="E9" s="10">
        <v>15.85</v>
      </c>
      <c r="F9" s="2">
        <v>376</v>
      </c>
      <c r="G9" s="9">
        <v>0.53710000000000002</v>
      </c>
      <c r="H9" s="10">
        <v>20.260000000000002</v>
      </c>
      <c r="I9" s="2"/>
    </row>
    <row r="10" ht="14.25">
      <c r="A10" s="2">
        <v>6</v>
      </c>
      <c r="B10" s="2">
        <v>8</v>
      </c>
      <c r="C10" s="2">
        <v>227</v>
      </c>
      <c r="D10" s="9">
        <v>0.32429999999999998</v>
      </c>
      <c r="E10" s="10">
        <v>16.620000000000001</v>
      </c>
      <c r="F10" s="2">
        <v>374</v>
      </c>
      <c r="G10" s="9">
        <v>0.5343</v>
      </c>
      <c r="H10" s="10">
        <v>20.370000000000001</v>
      </c>
      <c r="I10" s="2"/>
    </row>
    <row r="11" ht="14.25">
      <c r="A11" s="2">
        <v>6</v>
      </c>
      <c r="B11" s="2">
        <v>9</v>
      </c>
      <c r="C11" s="2">
        <v>210</v>
      </c>
      <c r="D11" s="9">
        <v>0.29999999999999999</v>
      </c>
      <c r="E11" s="10">
        <v>16.84</v>
      </c>
      <c r="F11" s="2">
        <v>352</v>
      </c>
      <c r="G11" s="9">
        <v>0.50290000000000001</v>
      </c>
      <c r="H11" s="10">
        <v>19.940000000000001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6</v>
      </c>
      <c r="B17" s="4">
        <f>AVERAGE(D2:D11)</f>
        <v>0.31012999999999996</v>
      </c>
      <c r="C17" s="10">
        <f>AVERAGE(E2:E11)</f>
        <v>16.704000000000001</v>
      </c>
      <c r="D17" s="6">
        <f>STDEV(D2:D11)</f>
        <v>0.035571275865038457</v>
      </c>
      <c r="E17" s="6">
        <f>STDEV(E2:E11)</f>
        <v>0.92596136228486559</v>
      </c>
      <c r="F17" s="6">
        <f>CONFIDENCE(0.9,D17,10)</f>
        <v>0.0014135173804807884</v>
      </c>
      <c r="G17" s="6">
        <f>CONFIDENCE(0.9,E17,10)</f>
        <v>0.03679548870300018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6</v>
      </c>
      <c r="B22" s="4">
        <f>AVERAGE(G2:G11)</f>
        <v>0.53042999999999996</v>
      </c>
      <c r="C22" s="12">
        <f>AVERAGE(H2:H11)</f>
        <v>20.320999999999998</v>
      </c>
      <c r="D22" s="8">
        <f>STDEV(G2:G11)</f>
        <v>0.022514689032323371</v>
      </c>
      <c r="E22" s="8">
        <f>STDEV(H2:H11)</f>
        <v>0.46167448850172893</v>
      </c>
      <c r="F22" s="8">
        <f>CONFIDENCE(0.9,D22,10)</f>
        <v>0.00089467986428309865</v>
      </c>
      <c r="G22" s="8">
        <f>CONFIDENCE(0.9,E22,10)</f>
        <v>0.018345839381689724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5</v>
      </c>
      <c r="B2" s="2">
        <v>0</v>
      </c>
      <c r="C2" s="2">
        <v>234</v>
      </c>
      <c r="D2" s="9">
        <v>0.33429999999999999</v>
      </c>
      <c r="E2" s="10">
        <v>16.719999999999999</v>
      </c>
      <c r="F2" s="2">
        <v>409</v>
      </c>
      <c r="G2" s="9">
        <v>0.58430000000000004</v>
      </c>
      <c r="H2" s="10">
        <v>20.489999999999998</v>
      </c>
      <c r="I2" s="2"/>
    </row>
    <row r="3" ht="14.25">
      <c r="A3" s="2">
        <v>5</v>
      </c>
      <c r="B3" s="2">
        <v>1</v>
      </c>
      <c r="C3" s="2">
        <v>214</v>
      </c>
      <c r="D3" s="9">
        <v>0.30570000000000003</v>
      </c>
      <c r="E3" s="10">
        <v>16.309999999999999</v>
      </c>
      <c r="F3" s="2">
        <v>381</v>
      </c>
      <c r="G3" s="9">
        <v>0.54430000000000001</v>
      </c>
      <c r="H3" s="10">
        <v>20.280000000000001</v>
      </c>
      <c r="I3" s="2"/>
    </row>
    <row r="4" ht="14.25">
      <c r="A4" s="2">
        <v>5</v>
      </c>
      <c r="B4" s="2">
        <v>2</v>
      </c>
      <c r="C4" s="2">
        <v>242</v>
      </c>
      <c r="D4" s="9">
        <v>0.34570000000000001</v>
      </c>
      <c r="E4" s="10">
        <v>17.420000000000002</v>
      </c>
      <c r="F4" s="2">
        <v>395</v>
      </c>
      <c r="G4" s="9">
        <v>0.56430000000000002</v>
      </c>
      <c r="H4" s="10">
        <v>20.82</v>
      </c>
      <c r="I4" s="2"/>
    </row>
    <row r="5" ht="14.25">
      <c r="A5" s="2">
        <v>5</v>
      </c>
      <c r="B5" s="2">
        <v>3</v>
      </c>
      <c r="C5" s="2">
        <v>222</v>
      </c>
      <c r="D5" s="9">
        <v>0.31709999999999999</v>
      </c>
      <c r="E5" s="11">
        <v>16.399999999999999</v>
      </c>
      <c r="F5" s="2">
        <v>350</v>
      </c>
      <c r="G5" s="9">
        <v>0.5</v>
      </c>
      <c r="H5" s="10">
        <v>19.280000000000001</v>
      </c>
      <c r="I5" s="2"/>
    </row>
    <row r="6" ht="14.25">
      <c r="A6" s="2">
        <v>5</v>
      </c>
      <c r="B6" s="2">
        <v>4</v>
      </c>
      <c r="C6" s="2">
        <v>239</v>
      </c>
      <c r="D6" s="9">
        <v>0.34139999999999998</v>
      </c>
      <c r="E6" s="10">
        <v>17.41</v>
      </c>
      <c r="F6" s="2">
        <v>385</v>
      </c>
      <c r="G6" s="9">
        <v>0.55000000000000004</v>
      </c>
      <c r="H6" s="10">
        <v>21.18</v>
      </c>
      <c r="I6" s="2"/>
    </row>
    <row r="7" ht="14.25">
      <c r="A7" s="2">
        <v>5</v>
      </c>
      <c r="B7" s="2">
        <v>5</v>
      </c>
      <c r="C7" s="2">
        <v>243</v>
      </c>
      <c r="D7" s="9">
        <v>0.34710000000000002</v>
      </c>
      <c r="E7" s="10">
        <v>16.739999999999998</v>
      </c>
      <c r="F7" s="2">
        <v>400</v>
      </c>
      <c r="G7" s="9">
        <v>0.57140000000000002</v>
      </c>
      <c r="H7" s="10">
        <v>20.710000000000001</v>
      </c>
      <c r="I7" s="2"/>
    </row>
    <row r="8" ht="14.25">
      <c r="A8" s="2">
        <v>5</v>
      </c>
      <c r="B8" s="2">
        <v>6</v>
      </c>
      <c r="C8" s="2">
        <v>217</v>
      </c>
      <c r="D8" s="9">
        <v>0.31</v>
      </c>
      <c r="E8" s="11">
        <v>16.800000000000001</v>
      </c>
      <c r="F8" s="2">
        <v>379</v>
      </c>
      <c r="G8" s="9">
        <v>0.54139999999999999</v>
      </c>
      <c r="H8" s="10">
        <v>20.16</v>
      </c>
      <c r="I8" s="2"/>
    </row>
    <row r="9" ht="14.25">
      <c r="A9" s="2">
        <v>5</v>
      </c>
      <c r="B9" s="2">
        <v>7</v>
      </c>
      <c r="C9" s="2">
        <v>224</v>
      </c>
      <c r="D9" s="9">
        <v>0.32000000000000001</v>
      </c>
      <c r="E9" s="10">
        <v>16.690000000000001</v>
      </c>
      <c r="F9" s="2">
        <v>406</v>
      </c>
      <c r="G9" s="9">
        <v>0.57999999999999996</v>
      </c>
      <c r="H9" s="10">
        <v>20.739999999999998</v>
      </c>
      <c r="I9" s="2"/>
    </row>
    <row r="10" ht="14.25">
      <c r="A10" s="2">
        <v>5</v>
      </c>
      <c r="B10" s="2">
        <v>8</v>
      </c>
      <c r="C10" s="2">
        <v>267</v>
      </c>
      <c r="D10" s="9">
        <v>0.38140000000000002</v>
      </c>
      <c r="E10" s="11">
        <v>18</v>
      </c>
      <c r="F10" s="2">
        <v>363</v>
      </c>
      <c r="G10" s="9">
        <v>0.51859999999999995</v>
      </c>
      <c r="H10" s="10">
        <v>20.460000000000001</v>
      </c>
      <c r="I10" s="2"/>
    </row>
    <row r="11" ht="14.25">
      <c r="A11" s="2">
        <v>5</v>
      </c>
      <c r="B11" s="2">
        <v>9</v>
      </c>
      <c r="C11" s="2">
        <v>250</v>
      </c>
      <c r="D11" s="9">
        <v>0.35709999999999997</v>
      </c>
      <c r="E11" s="10">
        <v>17.379999999999999</v>
      </c>
      <c r="F11" s="2">
        <v>374</v>
      </c>
      <c r="G11" s="9">
        <v>0.5343</v>
      </c>
      <c r="H11" s="10">
        <v>20.489999999999998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5</v>
      </c>
      <c r="B17" s="4">
        <f>AVERAGE(D2:D11)</f>
        <v>0.33598</v>
      </c>
      <c r="C17" s="10">
        <f>AVERAGE(E2:E11)</f>
        <v>16.986999999999998</v>
      </c>
      <c r="D17" s="6">
        <f>STDEV(D2:D11)</f>
        <v>0.023482892117927517</v>
      </c>
      <c r="E17" s="6">
        <f>STDEV(E2:E11)</f>
        <v>0.53804274923095141</v>
      </c>
      <c r="F17" s="6">
        <f>CONFIDENCE(0.9,D17,10)</f>
        <v>0.00093315393798596791</v>
      </c>
      <c r="G17" s="6">
        <f>CONFIDENCE(0.9,E17,10)</f>
        <v>0.021380531313106837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5</v>
      </c>
      <c r="B22" s="4">
        <f>AVERAGE(G2:G11)</f>
        <v>0.54886000000000001</v>
      </c>
      <c r="C22" s="12">
        <f>AVERAGE(H2:H11)</f>
        <v>20.461000000000006</v>
      </c>
      <c r="D22" s="8">
        <f>STDEV(G2:G11)</f>
        <v>0.027007908306848048</v>
      </c>
      <c r="E22" s="8">
        <f>STDEV(H2:H11)</f>
        <v>0.50612800313315509</v>
      </c>
      <c r="F22" s="8">
        <f>CONFIDENCE(0.9,D22,10)</f>
        <v>0.0010732296459369606</v>
      </c>
      <c r="G22" s="8">
        <f>CONFIDENCE(0.9,E22,10)</f>
        <v>0.02011231567546632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4</v>
      </c>
      <c r="B2" s="2">
        <v>0</v>
      </c>
      <c r="C2" s="2">
        <v>233</v>
      </c>
      <c r="D2" s="9">
        <v>0.33289999999999997</v>
      </c>
      <c r="E2" s="10">
        <v>17.629999999999999</v>
      </c>
      <c r="F2" s="2">
        <v>404</v>
      </c>
      <c r="G2" s="9">
        <v>0.57709999999999995</v>
      </c>
      <c r="H2" s="10">
        <v>21.120000000000001</v>
      </c>
      <c r="I2" s="2"/>
    </row>
    <row r="3" ht="14.25">
      <c r="A3" s="2">
        <v>4</v>
      </c>
      <c r="B3" s="2">
        <v>1</v>
      </c>
      <c r="C3" s="2">
        <v>167</v>
      </c>
      <c r="D3" s="9">
        <v>0.23860000000000001</v>
      </c>
      <c r="E3" s="10">
        <v>14.970000000000001</v>
      </c>
      <c r="F3" s="2">
        <v>358</v>
      </c>
      <c r="G3" s="9">
        <v>0.51139999999999997</v>
      </c>
      <c r="H3" s="10">
        <v>20.140000000000001</v>
      </c>
      <c r="I3" s="2"/>
    </row>
    <row r="4" ht="14.25">
      <c r="A4" s="2">
        <v>4</v>
      </c>
      <c r="B4" s="2">
        <v>2</v>
      </c>
      <c r="C4" s="2">
        <v>243</v>
      </c>
      <c r="D4" s="9">
        <v>0.34710000000000002</v>
      </c>
      <c r="E4" s="10">
        <v>17.449999999999999</v>
      </c>
      <c r="F4" s="2">
        <v>403</v>
      </c>
      <c r="G4" s="9">
        <v>0.57569999999999999</v>
      </c>
      <c r="H4" s="10">
        <v>21.09</v>
      </c>
      <c r="I4" s="2"/>
    </row>
    <row r="5" ht="14.25">
      <c r="A5" s="2">
        <v>4</v>
      </c>
      <c r="B5" s="2">
        <v>3</v>
      </c>
      <c r="C5" s="2">
        <v>217</v>
      </c>
      <c r="D5" s="9">
        <v>0.31</v>
      </c>
      <c r="E5" s="10">
        <v>16.190000000000001</v>
      </c>
      <c r="F5" s="2">
        <v>356</v>
      </c>
      <c r="G5" s="9">
        <v>0.50860000000000005</v>
      </c>
      <c r="H5" s="10">
        <v>20.129999999999999</v>
      </c>
      <c r="I5" s="2"/>
    </row>
    <row r="6" ht="14.25">
      <c r="A6" s="2">
        <v>4</v>
      </c>
      <c r="B6" s="2">
        <v>4</v>
      </c>
      <c r="C6" s="2">
        <v>259</v>
      </c>
      <c r="D6" s="9">
        <v>0.37</v>
      </c>
      <c r="E6" s="10">
        <v>18.32</v>
      </c>
      <c r="F6" s="2">
        <v>379</v>
      </c>
      <c r="G6" s="9">
        <v>0.54139999999999999</v>
      </c>
      <c r="H6" s="10">
        <v>21.010000000000002</v>
      </c>
      <c r="I6" s="2"/>
    </row>
    <row r="7" ht="14.25">
      <c r="A7" s="2">
        <v>4</v>
      </c>
      <c r="B7" s="2">
        <v>5</v>
      </c>
      <c r="C7" s="2">
        <v>171</v>
      </c>
      <c r="D7" s="9">
        <v>0.24429999999999999</v>
      </c>
      <c r="E7" s="10">
        <v>15.859999999999999</v>
      </c>
      <c r="F7" s="2">
        <v>361</v>
      </c>
      <c r="G7" s="9">
        <v>0.51570000000000005</v>
      </c>
      <c r="H7" s="10">
        <v>20.460000000000001</v>
      </c>
      <c r="I7" s="2"/>
    </row>
    <row r="8" ht="14.25">
      <c r="A8" s="2">
        <v>4</v>
      </c>
      <c r="B8" s="2">
        <v>6</v>
      </c>
      <c r="C8" s="2">
        <v>211</v>
      </c>
      <c r="D8" s="9">
        <v>0.3014</v>
      </c>
      <c r="E8" s="10">
        <v>16.829999999999998</v>
      </c>
      <c r="F8" s="2">
        <v>389</v>
      </c>
      <c r="G8" s="9">
        <v>0.55569999999999997</v>
      </c>
      <c r="H8" s="10">
        <v>20.640000000000001</v>
      </c>
      <c r="I8" s="2"/>
    </row>
    <row r="9" ht="14.25">
      <c r="A9" s="2">
        <v>4</v>
      </c>
      <c r="B9" s="2">
        <v>7</v>
      </c>
      <c r="C9" s="2">
        <v>237</v>
      </c>
      <c r="D9" s="9">
        <v>0.33860000000000001</v>
      </c>
      <c r="E9" s="10">
        <v>17.640000000000001</v>
      </c>
      <c r="F9" s="2">
        <v>369</v>
      </c>
      <c r="G9" s="9">
        <v>0.52710000000000001</v>
      </c>
      <c r="H9" s="11">
        <v>20.699999999999999</v>
      </c>
      <c r="I9" s="2"/>
    </row>
    <row r="10" ht="14.25">
      <c r="A10" s="2">
        <v>4</v>
      </c>
      <c r="B10" s="2">
        <v>8</v>
      </c>
      <c r="C10" s="2">
        <v>186</v>
      </c>
      <c r="D10" s="9">
        <v>0.26569999999999999</v>
      </c>
      <c r="E10" s="10">
        <v>15.16</v>
      </c>
      <c r="F10" s="2">
        <v>367</v>
      </c>
      <c r="G10" s="9">
        <v>0.52429999999999999</v>
      </c>
      <c r="H10" s="10">
        <v>19.870000000000001</v>
      </c>
      <c r="I10" s="2"/>
    </row>
    <row r="11" ht="14.25">
      <c r="A11" s="2">
        <v>4</v>
      </c>
      <c r="B11" s="2">
        <v>9</v>
      </c>
      <c r="C11" s="2">
        <v>248</v>
      </c>
      <c r="D11" s="9">
        <v>0.3543</v>
      </c>
      <c r="E11" s="10">
        <v>17.670000000000002</v>
      </c>
      <c r="F11" s="2">
        <v>377</v>
      </c>
      <c r="G11" s="9">
        <v>0.53859999999999997</v>
      </c>
      <c r="H11" s="10">
        <v>20.359999999999999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f>A2</f>
        <v>4</v>
      </c>
      <c r="B17" s="4">
        <f>AVERAGE(D2:D11)</f>
        <v>0.31029000000000001</v>
      </c>
      <c r="C17" s="10">
        <f>AVERAGE(E2:E11)</f>
        <v>16.771999999999998</v>
      </c>
      <c r="D17" s="6">
        <f>STDEV(D2:D11)</f>
        <v>0.046822749693806849</v>
      </c>
      <c r="E17" s="6">
        <f>STDEV(E2:E11)</f>
        <v>1.1629254299204037</v>
      </c>
      <c r="F17" s="6">
        <f>CONFIDENCE(0.9,D17,10)</f>
        <v>0.001860624025553938</v>
      </c>
      <c r="G17" s="6">
        <f>CONFIDENCE(0.9,E17,10)</f>
        <v>0.046211873693606312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f>A2</f>
        <v>4</v>
      </c>
      <c r="B22" s="4">
        <f>AVERAGE(G2:G11)</f>
        <v>0.53755999999999993</v>
      </c>
      <c r="C22" s="12">
        <f>AVERAGE(H2:H11)</f>
        <v>20.552000000000003</v>
      </c>
      <c r="D22" s="8">
        <f>STDEV(G2:G11)</f>
        <v>0.025053462834506508</v>
      </c>
      <c r="E22" s="8">
        <f>STDEV(H2:H11)</f>
        <v>0.4358593045161861</v>
      </c>
      <c r="F22" s="8">
        <f>CONFIDENCE(0.9,D22,10)</f>
        <v>0.00099556465987240303</v>
      </c>
      <c r="G22" s="8">
        <f>CONFIDENCE(0.9,E22,10)</f>
        <v>0.017320005746080978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3</v>
      </c>
      <c r="B2" s="2">
        <v>0</v>
      </c>
      <c r="C2" s="2">
        <v>210</v>
      </c>
      <c r="D2" s="9">
        <v>0.29999999999999999</v>
      </c>
      <c r="E2" s="10">
        <v>16.359999999999999</v>
      </c>
      <c r="F2" s="2">
        <v>363</v>
      </c>
      <c r="G2" s="9">
        <v>0.51859999999999995</v>
      </c>
      <c r="H2" s="10">
        <v>19.789999999999999</v>
      </c>
      <c r="I2" s="2"/>
    </row>
    <row r="3" ht="14.25">
      <c r="A3" s="2">
        <v>3</v>
      </c>
      <c r="B3" s="2">
        <v>1</v>
      </c>
      <c r="C3" s="2">
        <v>196</v>
      </c>
      <c r="D3" s="9">
        <v>0.28000000000000003</v>
      </c>
      <c r="E3" s="10">
        <v>16.09</v>
      </c>
      <c r="F3" s="2">
        <v>378</v>
      </c>
      <c r="G3" s="9">
        <v>0.54000000000000004</v>
      </c>
      <c r="H3" s="10">
        <v>20.289999999999999</v>
      </c>
      <c r="I3" s="2"/>
    </row>
    <row r="4" ht="14.25">
      <c r="A4" s="2">
        <v>3</v>
      </c>
      <c r="B4" s="2">
        <v>2</v>
      </c>
      <c r="C4" s="2">
        <v>163</v>
      </c>
      <c r="D4" s="9">
        <v>0.2329</v>
      </c>
      <c r="E4" s="10">
        <v>15.43</v>
      </c>
      <c r="F4" s="2">
        <v>365</v>
      </c>
      <c r="G4" s="9">
        <v>0.52139999999999997</v>
      </c>
      <c r="H4" s="10">
        <v>19.739999999999998</v>
      </c>
      <c r="I4" s="2"/>
    </row>
    <row r="5" ht="14.25">
      <c r="A5" s="2">
        <v>3</v>
      </c>
      <c r="B5" s="2">
        <v>3</v>
      </c>
      <c r="C5" s="2">
        <v>205</v>
      </c>
      <c r="D5" s="9">
        <v>0.29289999999999999</v>
      </c>
      <c r="E5" s="10">
        <v>15.81</v>
      </c>
      <c r="F5" s="2">
        <v>368</v>
      </c>
      <c r="G5" s="9">
        <v>0.52569999999999995</v>
      </c>
      <c r="H5" s="10">
        <v>19.620000000000001</v>
      </c>
      <c r="I5" s="2"/>
    </row>
    <row r="6" ht="14.25">
      <c r="A6" s="2">
        <v>3</v>
      </c>
      <c r="B6" s="2">
        <v>4</v>
      </c>
      <c r="C6" s="2">
        <v>185</v>
      </c>
      <c r="D6" s="9">
        <v>0.26429999999999998</v>
      </c>
      <c r="E6" s="10">
        <v>14.99</v>
      </c>
      <c r="F6" s="2">
        <v>360</v>
      </c>
      <c r="G6" s="9">
        <v>0.51429999999999998</v>
      </c>
      <c r="H6" s="11">
        <v>19.899999999999999</v>
      </c>
      <c r="I6" s="2"/>
    </row>
    <row r="7" ht="14.25">
      <c r="A7" s="2">
        <v>3</v>
      </c>
      <c r="B7" s="2">
        <v>5</v>
      </c>
      <c r="C7" s="2">
        <v>188</v>
      </c>
      <c r="D7" s="9">
        <v>0.26860000000000001</v>
      </c>
      <c r="E7" s="10">
        <v>15.74</v>
      </c>
      <c r="F7" s="2">
        <v>365</v>
      </c>
      <c r="G7" s="9">
        <v>0.52139999999999997</v>
      </c>
      <c r="H7" s="10">
        <v>20.149999999999999</v>
      </c>
      <c r="I7" s="2"/>
    </row>
    <row r="8" ht="14.25">
      <c r="A8" s="2">
        <v>3</v>
      </c>
      <c r="B8" s="2">
        <v>6</v>
      </c>
      <c r="C8" s="2">
        <v>165</v>
      </c>
      <c r="D8" s="9">
        <v>0.23569999999999999</v>
      </c>
      <c r="E8" s="11">
        <v>14.6</v>
      </c>
      <c r="F8" s="2">
        <v>368</v>
      </c>
      <c r="G8" s="9">
        <v>0.52569999999999995</v>
      </c>
      <c r="H8" s="10">
        <v>20.370000000000001</v>
      </c>
      <c r="I8" s="2"/>
    </row>
    <row r="9" ht="14.25">
      <c r="A9" s="2">
        <v>3</v>
      </c>
      <c r="B9" s="2">
        <v>7</v>
      </c>
      <c r="C9" s="2">
        <v>198</v>
      </c>
      <c r="D9" s="9">
        <v>0.28289999999999998</v>
      </c>
      <c r="E9" s="10">
        <v>15.94</v>
      </c>
      <c r="F9" s="2">
        <v>367</v>
      </c>
      <c r="G9" s="9">
        <v>0.52429999999999999</v>
      </c>
      <c r="H9" s="10">
        <v>20.030000000000001</v>
      </c>
      <c r="I9" s="2"/>
    </row>
    <row r="10" ht="14.25">
      <c r="A10" s="2">
        <v>3</v>
      </c>
      <c r="B10" s="2">
        <v>8</v>
      </c>
      <c r="C10" s="2">
        <v>155</v>
      </c>
      <c r="D10" s="9">
        <v>0.22140000000000001</v>
      </c>
      <c r="E10" s="10">
        <v>14.18</v>
      </c>
      <c r="F10" s="2">
        <v>325</v>
      </c>
      <c r="G10" s="9">
        <v>0.46429999999999999</v>
      </c>
      <c r="H10" s="10">
        <v>18.969999999999999</v>
      </c>
      <c r="I10" s="2"/>
    </row>
    <row r="11" ht="14.25">
      <c r="A11" s="2">
        <v>3</v>
      </c>
      <c r="B11" s="2">
        <v>9</v>
      </c>
      <c r="C11" s="2">
        <v>183</v>
      </c>
      <c r="D11" s="9">
        <v>0.26140000000000002</v>
      </c>
      <c r="E11" s="10">
        <v>14.720000000000001</v>
      </c>
      <c r="F11" s="2">
        <v>355</v>
      </c>
      <c r="G11" s="9">
        <v>0.5071</v>
      </c>
      <c r="H11" s="10">
        <v>19.690000000000001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v>3</v>
      </c>
      <c r="B17" s="4">
        <f>AVERAGE(D2:D11)</f>
        <v>0.26401000000000002</v>
      </c>
      <c r="C17" s="10">
        <f>AVERAGE(E2:E11)</f>
        <v>15.385999999999999</v>
      </c>
      <c r="D17" s="6">
        <f>STDEV(D2:D11)</f>
        <v>0.02657335549422056</v>
      </c>
      <c r="E17" s="6">
        <f>STDEV(E2:E11)</f>
        <v>0.72501647490859733</v>
      </c>
      <c r="F17" s="6">
        <f>CONFIDENCE(0.9,D17,10)</f>
        <v>0.0010559615570520891</v>
      </c>
      <c r="G17" s="6">
        <f>CONFIDENCE(0.9,E17,10)</f>
        <v>0.02881041974166219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v>3</v>
      </c>
      <c r="B22" s="4">
        <f>AVERAGE(G2:G11)</f>
        <v>0.51627999999999996</v>
      </c>
      <c r="C22" s="12">
        <f>AVERAGE(H2:H11)</f>
        <v>19.855</v>
      </c>
      <c r="D22" s="8">
        <f>STDEV(G2:G11)</f>
        <v>0.020144908372423373</v>
      </c>
      <c r="E22" s="8">
        <f>STDEV(H2:H11)</f>
        <v>0.40238870096794072</v>
      </c>
      <c r="F22" s="8">
        <f>CONFIDENCE(0.9,D22,10)</f>
        <v>0.00080051045176595618</v>
      </c>
      <c r="G22" s="8">
        <f>CONFIDENCE(0.9,E22,10)</f>
        <v>0.015989964056541045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2</v>
      </c>
      <c r="B2" s="2">
        <v>0</v>
      </c>
      <c r="C2" s="2">
        <v>191</v>
      </c>
      <c r="D2" s="9">
        <v>0.27289999999999998</v>
      </c>
      <c r="E2" s="11">
        <v>15.300000000000001</v>
      </c>
      <c r="F2" s="2">
        <v>362</v>
      </c>
      <c r="G2" s="9">
        <v>0.5171</v>
      </c>
      <c r="H2" s="10">
        <v>20.16</v>
      </c>
      <c r="I2" s="2"/>
    </row>
    <row r="3" ht="14.25">
      <c r="A3" s="2">
        <v>2</v>
      </c>
      <c r="B3" s="2">
        <v>1</v>
      </c>
      <c r="C3" s="2">
        <v>218</v>
      </c>
      <c r="D3" s="9">
        <v>0.31140000000000001</v>
      </c>
      <c r="E3" s="10">
        <v>17.18</v>
      </c>
      <c r="F3" s="2">
        <v>334</v>
      </c>
      <c r="G3" s="9">
        <v>0.47710000000000002</v>
      </c>
      <c r="H3" s="11">
        <v>19.5</v>
      </c>
      <c r="I3" s="2"/>
    </row>
    <row r="4" ht="14.25">
      <c r="A4" s="2">
        <v>2</v>
      </c>
      <c r="B4" s="2">
        <v>2</v>
      </c>
      <c r="C4" s="2">
        <v>248</v>
      </c>
      <c r="D4" s="9">
        <v>0.3543</v>
      </c>
      <c r="E4" s="10">
        <v>18.02</v>
      </c>
      <c r="F4" s="2">
        <v>387</v>
      </c>
      <c r="G4" s="9">
        <v>0.55289999999999995</v>
      </c>
      <c r="H4" s="10">
        <v>21.129999999999999</v>
      </c>
      <c r="I4" s="2"/>
    </row>
    <row r="5" ht="14.25">
      <c r="A5" s="2">
        <v>2</v>
      </c>
      <c r="B5" s="2">
        <v>3</v>
      </c>
      <c r="C5" s="2">
        <v>185</v>
      </c>
      <c r="D5" s="9">
        <v>0.26429999999999998</v>
      </c>
      <c r="E5" s="10">
        <v>15.77</v>
      </c>
      <c r="F5" s="2">
        <v>367</v>
      </c>
      <c r="G5" s="9">
        <v>0.52429999999999999</v>
      </c>
      <c r="H5" s="10">
        <v>20.309999999999999</v>
      </c>
      <c r="I5" s="2"/>
    </row>
    <row r="6" ht="14.25">
      <c r="A6" s="2">
        <v>2</v>
      </c>
      <c r="B6" s="2">
        <v>4</v>
      </c>
      <c r="C6" s="2">
        <v>209</v>
      </c>
      <c r="D6" s="9">
        <v>0.29859999999999998</v>
      </c>
      <c r="E6" s="10">
        <v>15.779999999999999</v>
      </c>
      <c r="F6" s="2">
        <v>380</v>
      </c>
      <c r="G6" s="9">
        <v>0.54290000000000005</v>
      </c>
      <c r="H6" s="10">
        <v>20.219999999999999</v>
      </c>
      <c r="I6" s="2"/>
    </row>
    <row r="7" ht="14.25">
      <c r="A7" s="2">
        <v>2</v>
      </c>
      <c r="B7" s="2">
        <v>5</v>
      </c>
      <c r="C7" s="2">
        <v>217</v>
      </c>
      <c r="D7" s="9">
        <v>0.31</v>
      </c>
      <c r="E7" s="10">
        <v>16.030000000000001</v>
      </c>
      <c r="F7" s="2">
        <v>435</v>
      </c>
      <c r="G7" s="9">
        <v>0.62139999999999995</v>
      </c>
      <c r="H7" s="10">
        <v>21.289999999999999</v>
      </c>
      <c r="I7" s="2"/>
    </row>
    <row r="8" ht="14.25">
      <c r="A8" s="2">
        <v>2</v>
      </c>
      <c r="B8" s="2">
        <v>6</v>
      </c>
      <c r="C8" s="2">
        <v>198</v>
      </c>
      <c r="D8" s="9">
        <v>0.28289999999999998</v>
      </c>
      <c r="E8" s="10">
        <v>15.630000000000001</v>
      </c>
      <c r="F8" s="2">
        <v>375</v>
      </c>
      <c r="G8" s="9">
        <v>0.53569999999999995</v>
      </c>
      <c r="H8" s="10">
        <v>20.02</v>
      </c>
      <c r="I8" s="2"/>
    </row>
    <row r="9" ht="14.25">
      <c r="A9" s="2">
        <v>2</v>
      </c>
      <c r="B9" s="2">
        <v>7</v>
      </c>
      <c r="C9" s="2">
        <v>260</v>
      </c>
      <c r="D9" s="9">
        <v>0.37140000000000001</v>
      </c>
      <c r="E9" s="10">
        <v>17.52</v>
      </c>
      <c r="F9" s="2">
        <v>393</v>
      </c>
      <c r="G9" s="9">
        <v>0.56140000000000001</v>
      </c>
      <c r="H9" s="10">
        <v>20.530000000000001</v>
      </c>
      <c r="I9" s="2"/>
    </row>
    <row r="10" ht="14.25">
      <c r="A10" s="2">
        <v>2</v>
      </c>
      <c r="B10" s="2">
        <v>8</v>
      </c>
      <c r="C10" s="2">
        <v>218</v>
      </c>
      <c r="D10" s="9">
        <v>0.31140000000000001</v>
      </c>
      <c r="E10" s="10">
        <v>16.43</v>
      </c>
      <c r="F10" s="2">
        <v>397</v>
      </c>
      <c r="G10" s="9">
        <v>0.56710000000000005</v>
      </c>
      <c r="H10" s="10">
        <v>20.890000000000001</v>
      </c>
      <c r="I10" s="2"/>
    </row>
    <row r="11" ht="14.25">
      <c r="A11" s="2">
        <v>2</v>
      </c>
      <c r="B11" s="2">
        <v>9</v>
      </c>
      <c r="C11" s="2">
        <v>233</v>
      </c>
      <c r="D11" s="9">
        <v>0.33289999999999997</v>
      </c>
      <c r="E11" s="10">
        <v>17.120000000000001</v>
      </c>
      <c r="F11" s="2">
        <v>369</v>
      </c>
      <c r="G11" s="9">
        <v>0.52710000000000001</v>
      </c>
      <c r="H11" s="11">
        <v>19.899999999999999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v>2</v>
      </c>
      <c r="B17" s="4">
        <f>AVERAGE(D2:D11)</f>
        <v>0.31101000000000001</v>
      </c>
      <c r="C17" s="10">
        <f>AVERAGE(E2:E11)</f>
        <v>16.478000000000002</v>
      </c>
      <c r="D17" s="6">
        <f>STDEV(D2:D11)</f>
        <v>0.034286130982917544</v>
      </c>
      <c r="E17" s="6">
        <f>STDEV(E2:E11)</f>
        <v>0.92296382498027618</v>
      </c>
      <c r="F17" s="6">
        <f>CONFIDENCE(0.9,D17,10)</f>
        <v>0.0013624487982290261</v>
      </c>
      <c r="G17" s="6">
        <f>CONFIDENCE(0.9,E17,10)</f>
        <v>0.036676373743650605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v>2</v>
      </c>
      <c r="B22" s="4">
        <f>AVERAGE(G2:G11)</f>
        <v>0.54269999999999996</v>
      </c>
      <c r="C22" s="12">
        <f>AVERAGE(H2:H11)</f>
        <v>20.395000000000003</v>
      </c>
      <c r="D22" s="8">
        <f>STDEV(G2:G11)</f>
        <v>0.037760149481813339</v>
      </c>
      <c r="E22" s="8">
        <f>STDEV(H2:H11)</f>
        <v>0.56610266049738911</v>
      </c>
      <c r="F22" s="8">
        <f>CONFIDENCE(0.9,D22,10)</f>
        <v>0.0015004979800163848</v>
      </c>
      <c r="G22" s="8">
        <f>CONFIDENCE(0.9,E22,10)</f>
        <v>0.022495565039204968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1</v>
      </c>
      <c r="B2" s="2">
        <v>0</v>
      </c>
      <c r="C2" s="2">
        <v>242</v>
      </c>
      <c r="D2" s="9">
        <v>0.34570000000000001</v>
      </c>
      <c r="E2" s="10">
        <v>17.710000000000001</v>
      </c>
      <c r="F2" s="2">
        <v>397</v>
      </c>
      <c r="G2" s="9">
        <v>0.56710000000000005</v>
      </c>
      <c r="H2" s="10">
        <v>21.57</v>
      </c>
      <c r="I2" s="2"/>
    </row>
    <row r="3" ht="14.25">
      <c r="A3" s="2">
        <v>1</v>
      </c>
      <c r="B3" s="2">
        <v>1</v>
      </c>
      <c r="C3" s="2">
        <v>245</v>
      </c>
      <c r="D3" s="9">
        <v>0.34999999999999998</v>
      </c>
      <c r="E3" s="10">
        <v>17.27</v>
      </c>
      <c r="F3" s="2">
        <v>395</v>
      </c>
      <c r="G3" s="9">
        <v>0.56430000000000002</v>
      </c>
      <c r="H3" s="11">
        <v>20.600000000000001</v>
      </c>
      <c r="I3" s="2"/>
    </row>
    <row r="4" ht="14.25">
      <c r="A4" s="2">
        <v>1</v>
      </c>
      <c r="B4" s="2">
        <v>2</v>
      </c>
      <c r="C4" s="2">
        <v>257</v>
      </c>
      <c r="D4" s="9">
        <v>0.36709999999999998</v>
      </c>
      <c r="E4" s="10">
        <v>17.949999999999999</v>
      </c>
      <c r="F4" s="2">
        <v>357</v>
      </c>
      <c r="G4" s="9">
        <v>0.51000000000000001</v>
      </c>
      <c r="H4" s="10">
        <v>19.809999999999999</v>
      </c>
      <c r="I4" s="2"/>
    </row>
    <row r="5" ht="14.25">
      <c r="A5" s="2">
        <v>1</v>
      </c>
      <c r="B5" s="2">
        <v>3</v>
      </c>
      <c r="C5" s="2">
        <v>253</v>
      </c>
      <c r="D5" s="9">
        <v>0.3614</v>
      </c>
      <c r="E5" s="11">
        <v>18.600000000000001</v>
      </c>
      <c r="F5" s="2">
        <v>410</v>
      </c>
      <c r="G5" s="9">
        <v>0.5857</v>
      </c>
      <c r="H5" s="10">
        <v>21.379999999999999</v>
      </c>
      <c r="I5" s="2"/>
    </row>
    <row r="6" ht="14.25">
      <c r="A6" s="2">
        <v>1</v>
      </c>
      <c r="B6" s="2">
        <v>4</v>
      </c>
      <c r="C6" s="2">
        <v>245</v>
      </c>
      <c r="D6" s="9">
        <v>0.34999999999999998</v>
      </c>
      <c r="E6" s="10">
        <v>16.940000000000001</v>
      </c>
      <c r="F6" s="2">
        <v>400</v>
      </c>
      <c r="G6" s="9">
        <v>0.57140000000000002</v>
      </c>
      <c r="H6" s="10">
        <v>20.690000000000001</v>
      </c>
      <c r="I6" s="2"/>
    </row>
    <row r="7" ht="14.25">
      <c r="A7" s="2">
        <v>1</v>
      </c>
      <c r="B7" s="2">
        <v>5</v>
      </c>
      <c r="C7" s="2">
        <v>237</v>
      </c>
      <c r="D7" s="9">
        <v>0.33860000000000001</v>
      </c>
      <c r="E7" s="10">
        <v>18.16</v>
      </c>
      <c r="F7" s="2">
        <v>409</v>
      </c>
      <c r="G7" s="9">
        <v>0.58430000000000004</v>
      </c>
      <c r="H7" s="10">
        <v>21.59</v>
      </c>
      <c r="I7" s="2"/>
    </row>
    <row r="8" ht="14.25">
      <c r="A8" s="2">
        <v>1</v>
      </c>
      <c r="B8" s="2">
        <v>6</v>
      </c>
      <c r="C8" s="2">
        <v>280</v>
      </c>
      <c r="D8" s="9">
        <v>0.40000000000000002</v>
      </c>
      <c r="E8" s="10">
        <v>18.18</v>
      </c>
      <c r="F8" s="2">
        <v>415</v>
      </c>
      <c r="G8" s="9">
        <v>0.59289999999999998</v>
      </c>
      <c r="H8" s="10">
        <v>21.77</v>
      </c>
      <c r="I8" s="2"/>
    </row>
    <row r="9" ht="14.25">
      <c r="A9" s="2">
        <v>1</v>
      </c>
      <c r="B9" s="2">
        <v>7</v>
      </c>
      <c r="C9" s="2">
        <v>252</v>
      </c>
      <c r="D9" s="9">
        <v>0.35999999999999999</v>
      </c>
      <c r="E9" s="10">
        <v>17.440000000000001</v>
      </c>
      <c r="F9" s="2">
        <v>371</v>
      </c>
      <c r="G9" s="9">
        <v>0.53000000000000003</v>
      </c>
      <c r="H9" s="10">
        <v>20.649999999999999</v>
      </c>
      <c r="I9" s="2"/>
    </row>
    <row r="10" ht="14.25">
      <c r="A10" s="2">
        <v>1</v>
      </c>
      <c r="B10" s="2">
        <v>8</v>
      </c>
      <c r="C10" s="2">
        <v>276</v>
      </c>
      <c r="D10" s="9">
        <v>0.39429999999999998</v>
      </c>
      <c r="E10" s="10">
        <v>18.23</v>
      </c>
      <c r="F10" s="2">
        <v>412</v>
      </c>
      <c r="G10" s="9">
        <v>0.58860000000000001</v>
      </c>
      <c r="H10" s="10">
        <v>21.039999999999999</v>
      </c>
      <c r="I10" s="2"/>
    </row>
    <row r="11" ht="14.25">
      <c r="A11" s="2">
        <v>1</v>
      </c>
      <c r="B11" s="2">
        <v>9</v>
      </c>
      <c r="C11" s="2">
        <v>226</v>
      </c>
      <c r="D11" s="9">
        <v>0.32290000000000002</v>
      </c>
      <c r="E11" s="10">
        <v>16.84</v>
      </c>
      <c r="F11" s="2">
        <v>425</v>
      </c>
      <c r="G11" s="9">
        <v>0.60709999999999997</v>
      </c>
      <c r="H11" s="10">
        <v>21.379999999999999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v>1</v>
      </c>
      <c r="B17" s="4">
        <f>AVERAGE(D2:D11)</f>
        <v>0.35899999999999999</v>
      </c>
      <c r="C17" s="10">
        <f>AVERAGE(E2:E11)</f>
        <v>17.731999999999999</v>
      </c>
      <c r="D17" s="6">
        <f>STDEV(D2:D11)</f>
        <v>0.023705883001670466</v>
      </c>
      <c r="E17" s="6">
        <f>STDEV(E2:E11)</f>
        <v>0.59207356900229136</v>
      </c>
      <c r="F17" s="6">
        <f>CONFIDENCE(0.9,D17,10)</f>
        <v>0.0009420150620866424</v>
      </c>
      <c r="G17" s="6">
        <f>CONFIDENCE(0.9,E17,10)</f>
        <v>0.023527586794562828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v>1</v>
      </c>
      <c r="B22" s="4">
        <f>AVERAGE(G2:G11)</f>
        <v>0.57014000000000009</v>
      </c>
      <c r="C22" s="12">
        <f>AVERAGE(H2:H11)</f>
        <v>21.047999999999998</v>
      </c>
      <c r="D22" s="8">
        <f>STDEV(G2:G11)</f>
        <v>0.029703018926252812</v>
      </c>
      <c r="E22" s="8">
        <f>STDEV(H2:H11)</f>
        <v>0.60808990563347898</v>
      </c>
      <c r="F22" s="8">
        <f>CONFIDENCE(0.9,D22,10)</f>
        <v>0.0011803268925271867</v>
      </c>
      <c r="G22" s="8">
        <f>CONFIDENCE(0.9,E22,10)</f>
        <v>0.024164037685042866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57421875"/>
    <col bestFit="1" min="3" max="3" width="18.57421875"/>
    <col bestFit="1" min="4" max="4" width="23.140625"/>
    <col bestFit="1" min="5" max="5" width="27.8515625"/>
    <col bestFit="1" min="6" max="6" width="14.8515625"/>
    <col bestFit="1" min="7" max="7" width="19.421875"/>
    <col bestFit="1" min="8" max="8" width="24.140625"/>
  </cols>
  <sheetData>
    <row r="1" ht="14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/>
    </row>
    <row r="2" ht="14.25">
      <c r="A2" s="2">
        <v>0</v>
      </c>
      <c r="B2" s="2">
        <v>0</v>
      </c>
      <c r="C2" s="2">
        <v>88</v>
      </c>
      <c r="D2" s="4">
        <v>0.12570000000000001</v>
      </c>
      <c r="E2" s="10">
        <v>13.82</v>
      </c>
      <c r="F2" s="2">
        <v>154</v>
      </c>
      <c r="G2" s="9">
        <v>0.22</v>
      </c>
      <c r="H2" s="10">
        <v>15.68</v>
      </c>
      <c r="I2" s="2"/>
    </row>
    <row r="3" ht="14.25">
      <c r="A3" s="2">
        <v>0</v>
      </c>
      <c r="B3" s="2">
        <v>1</v>
      </c>
      <c r="C3" s="2">
        <v>40</v>
      </c>
      <c r="D3" s="4">
        <v>0.057099999999999998</v>
      </c>
      <c r="E3" s="11">
        <v>10.6</v>
      </c>
      <c r="F3" s="2">
        <v>55</v>
      </c>
      <c r="G3" s="9">
        <v>0.078600000000000003</v>
      </c>
      <c r="H3" s="10">
        <v>11.109999999999999</v>
      </c>
      <c r="I3" s="2"/>
    </row>
    <row r="4" ht="14.25">
      <c r="A4" s="2">
        <v>0</v>
      </c>
      <c r="B4" s="2">
        <v>2</v>
      </c>
      <c r="C4" s="2">
        <v>29</v>
      </c>
      <c r="D4" s="4">
        <v>0.041399999999999999</v>
      </c>
      <c r="E4" s="5">
        <v>9.5199999999999996</v>
      </c>
      <c r="F4" s="2">
        <v>69</v>
      </c>
      <c r="G4" s="9">
        <v>0.098599999999999993</v>
      </c>
      <c r="H4" s="10">
        <v>11.57</v>
      </c>
      <c r="I4" s="2"/>
    </row>
    <row r="5" ht="14.25">
      <c r="A5" s="2">
        <v>0</v>
      </c>
      <c r="B5" s="2">
        <v>3</v>
      </c>
      <c r="C5" s="2">
        <v>17</v>
      </c>
      <c r="D5" s="4">
        <v>0.024299999999999999</v>
      </c>
      <c r="E5" s="10">
        <v>10.51</v>
      </c>
      <c r="F5" s="2">
        <v>51</v>
      </c>
      <c r="G5" s="9">
        <v>0.072900000000000006</v>
      </c>
      <c r="H5" s="10">
        <v>11.77</v>
      </c>
      <c r="I5" s="2"/>
    </row>
    <row r="6" ht="14.25">
      <c r="A6" s="2">
        <v>0</v>
      </c>
      <c r="B6" s="2">
        <v>4</v>
      </c>
      <c r="C6" s="2">
        <v>160</v>
      </c>
      <c r="D6" s="4">
        <v>0.2286</v>
      </c>
      <c r="E6" s="10">
        <v>15.33</v>
      </c>
      <c r="F6" s="2">
        <v>277</v>
      </c>
      <c r="G6" s="9">
        <v>0.3957</v>
      </c>
      <c r="H6" s="10">
        <v>18.370000000000001</v>
      </c>
      <c r="I6" s="2"/>
    </row>
    <row r="7" ht="14.25">
      <c r="A7" s="2">
        <v>0</v>
      </c>
      <c r="B7" s="2">
        <v>5</v>
      </c>
      <c r="C7" s="2">
        <v>70</v>
      </c>
      <c r="D7" s="4">
        <v>0.10000000000000001</v>
      </c>
      <c r="E7" s="10">
        <v>13.130000000000001</v>
      </c>
      <c r="F7" s="2">
        <v>99</v>
      </c>
      <c r="G7" s="9">
        <v>0.1414</v>
      </c>
      <c r="H7" s="10">
        <v>14.07</v>
      </c>
      <c r="I7" s="2"/>
    </row>
    <row r="8" ht="14.25">
      <c r="A8" s="2">
        <v>0</v>
      </c>
      <c r="B8" s="2">
        <v>6</v>
      </c>
      <c r="C8" s="2">
        <v>35</v>
      </c>
      <c r="D8" s="4">
        <v>0.050000000000000003</v>
      </c>
      <c r="E8" s="10">
        <v>10.59</v>
      </c>
      <c r="F8" s="2">
        <v>47</v>
      </c>
      <c r="G8" s="9">
        <v>0.067100000000000007</v>
      </c>
      <c r="H8" s="10">
        <v>11.18</v>
      </c>
      <c r="I8" s="2"/>
    </row>
    <row r="9" ht="14.25">
      <c r="A9" s="2">
        <v>0</v>
      </c>
      <c r="B9" s="2">
        <v>7</v>
      </c>
      <c r="C9" s="2">
        <v>37</v>
      </c>
      <c r="D9" s="4">
        <v>0.052900000000000003</v>
      </c>
      <c r="E9" s="10">
        <v>10.52</v>
      </c>
      <c r="F9" s="2">
        <v>57</v>
      </c>
      <c r="G9" s="9">
        <v>0.0814</v>
      </c>
      <c r="H9" s="10">
        <v>11.68</v>
      </c>
      <c r="I9" s="2"/>
    </row>
    <row r="10" ht="14.25">
      <c r="A10" s="2">
        <v>0</v>
      </c>
      <c r="B10" s="2">
        <v>8</v>
      </c>
      <c r="C10" s="2">
        <v>67</v>
      </c>
      <c r="D10" s="4">
        <v>0.095699999999999993</v>
      </c>
      <c r="E10" s="10">
        <v>12.75</v>
      </c>
      <c r="F10" s="2">
        <v>107</v>
      </c>
      <c r="G10" s="9">
        <v>0.15290000000000001</v>
      </c>
      <c r="H10" s="10">
        <v>14.039999999999999</v>
      </c>
      <c r="I10" s="2"/>
    </row>
    <row r="11" ht="14.25">
      <c r="A11" s="2">
        <v>0</v>
      </c>
      <c r="B11" s="2">
        <v>9</v>
      </c>
      <c r="C11" s="2">
        <v>64</v>
      </c>
      <c r="D11" s="4">
        <v>0.091399999999999995</v>
      </c>
      <c r="E11" s="10">
        <v>11.720000000000001</v>
      </c>
      <c r="F11" s="2">
        <v>96</v>
      </c>
      <c r="G11" s="9">
        <v>0.1371</v>
      </c>
      <c r="H11" s="11">
        <v>12.4</v>
      </c>
      <c r="I11" s="2"/>
    </row>
    <row r="14" ht="14.25">
      <c r="A14" s="1" t="s">
        <v>0</v>
      </c>
      <c r="B14" s="1"/>
      <c r="C14" s="1"/>
      <c r="D14" s="1"/>
      <c r="E14" s="1"/>
      <c r="F14" s="1"/>
      <c r="G14" s="1"/>
    </row>
    <row r="15" ht="14.25">
      <c r="A15" t="s">
        <v>2</v>
      </c>
      <c r="B15" s="1" t="s">
        <v>3</v>
      </c>
      <c r="C15" s="1"/>
      <c r="D15" s="1" t="s">
        <v>4</v>
      </c>
      <c r="E15" s="1"/>
      <c r="F15" s="1" t="s">
        <v>5</v>
      </c>
      <c r="G15" s="1"/>
    </row>
    <row r="16" ht="14.25">
      <c r="B16" t="s">
        <v>8</v>
      </c>
      <c r="C16" t="s">
        <v>7</v>
      </c>
      <c r="D16" t="s">
        <v>8</v>
      </c>
      <c r="E16" t="s">
        <v>7</v>
      </c>
      <c r="F16" s="2" t="s">
        <v>8</v>
      </c>
      <c r="G16" s="2" t="s">
        <v>7</v>
      </c>
    </row>
    <row r="17" ht="14.25">
      <c r="A17">
        <v>0</v>
      </c>
      <c r="B17" s="4">
        <f>AVERAGE(D2:D11)</f>
        <v>0.086709999999999995</v>
      </c>
      <c r="C17" s="10">
        <f>AVERAGE(E2:E11)</f>
        <v>11.849</v>
      </c>
      <c r="D17" s="6">
        <f>STDEV(D2:D11)</f>
        <v>0.058923612509002805</v>
      </c>
      <c r="E17" s="6">
        <f>STDEV(E2:E11)</f>
        <v>1.8439116030873066</v>
      </c>
      <c r="F17" s="6">
        <f>CONFIDENCE(0.9,D17,10)</f>
        <v>0.0023414833563519303</v>
      </c>
      <c r="G17" s="6">
        <f>CONFIDENCE(0.9,E17,10)</f>
        <v>0.073272634608977441</v>
      </c>
    </row>
    <row r="19" ht="14.25">
      <c r="A19" s="1" t="s">
        <v>23</v>
      </c>
      <c r="B19" s="1"/>
      <c r="C19" s="1"/>
      <c r="D19" s="1"/>
      <c r="E19" s="1"/>
      <c r="F19" s="1"/>
      <c r="G19" s="1"/>
    </row>
    <row r="20" ht="14.25">
      <c r="A20" t="s">
        <v>2</v>
      </c>
      <c r="B20" s="1" t="s">
        <v>3</v>
      </c>
      <c r="C20" s="1"/>
      <c r="D20" s="1" t="s">
        <v>4</v>
      </c>
      <c r="E20" s="1"/>
      <c r="F20" s="1" t="s">
        <v>5</v>
      </c>
      <c r="G20" s="1"/>
    </row>
    <row r="21" ht="14.25">
      <c r="A21" s="2"/>
      <c r="B21" t="s">
        <v>8</v>
      </c>
      <c r="C21" t="s">
        <v>7</v>
      </c>
      <c r="D21" s="2" t="s">
        <v>8</v>
      </c>
      <c r="E21" s="2" t="s">
        <v>7</v>
      </c>
      <c r="F21" s="2" t="s">
        <v>8</v>
      </c>
      <c r="G21" s="2" t="s">
        <v>7</v>
      </c>
    </row>
    <row r="22" ht="14.25">
      <c r="A22" s="2">
        <v>0</v>
      </c>
      <c r="B22" s="4">
        <f>AVERAGE(G2:G11)</f>
        <v>0.14457</v>
      </c>
      <c r="C22" s="12">
        <f>AVERAGE(H2:H11)</f>
        <v>13.187000000000001</v>
      </c>
      <c r="D22" s="8">
        <f>STDEV(G2:G11)</f>
        <v>0.10026914945950888</v>
      </c>
      <c r="E22" s="8">
        <f>STDEV(H2:H11)</f>
        <v>2.3673897956281817</v>
      </c>
      <c r="F22" s="8">
        <f>CONFIDENCE(0.9,D22,10)</f>
        <v>0.0039844560545084177</v>
      </c>
      <c r="G22" s="8">
        <f>CONFIDENCE(0.9,E22,10)</f>
        <v>0.09407440529234104</v>
      </c>
    </row>
    <row r="27" ht="14.25">
      <c r="I27" s="2"/>
    </row>
  </sheetData>
  <mergeCells count="8">
    <mergeCell ref="A14:G14"/>
    <mergeCell ref="B15:C15"/>
    <mergeCell ref="D15:E15"/>
    <mergeCell ref="F15:G15"/>
    <mergeCell ref="A19:G19"/>
    <mergeCell ref="B20:C20"/>
    <mergeCell ref="D20:E20"/>
    <mergeCell ref="F20:G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2024-11-10T15:41:17Z</dcterms:modified>
</cp:coreProperties>
</file>